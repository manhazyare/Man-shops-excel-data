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tables/table2.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tables/table3.xml" ContentType="application/vnd.openxmlformats-officedocument.spreadsheetml.tab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moham\Downloads\"/>
    </mc:Choice>
  </mc:AlternateContent>
  <xr:revisionPtr revIDLastSave="0" documentId="13_ncr:1_{7A2378B7-3C6C-4BE0-A0B2-31BD8A1476D3}" xr6:coauthVersionLast="47" xr6:coauthVersionMax="47" xr10:uidLastSave="{00000000-0000-0000-0000-000000000000}"/>
  <bookViews>
    <workbookView xWindow="-120" yWindow="-120" windowWidth="20730" windowHeight="11160" xr2:uid="{B48262DF-6951-4264-A95D-252003861EF4}"/>
  </bookViews>
  <sheets>
    <sheet name="Instructions on how to use" sheetId="13" r:id="rId1"/>
    <sheet name="Orginal_Sales_Data" sheetId="14" r:id="rId2"/>
    <sheet name="Sales_Data_table" sheetId="2" r:id="rId3"/>
    <sheet name="Q1." sheetId="3" r:id="rId4"/>
    <sheet name="Q2." sheetId="5" r:id="rId5"/>
    <sheet name="Q3." sheetId="6" r:id="rId6"/>
    <sheet name="Q4." sheetId="7" r:id="rId7"/>
    <sheet name="Q5." sheetId="8" r:id="rId8"/>
    <sheet name="Q6." sheetId="9" r:id="rId9"/>
    <sheet name="Q7" sheetId="10" r:id="rId10"/>
    <sheet name="Q8." sheetId="11" r:id="rId11"/>
    <sheet name="Q9." sheetId="12" r:id="rId12"/>
  </sheets>
  <definedNames>
    <definedName name="ExternalData_1" localSheetId="2" hidden="1">Sales_Data_table!$A$1:$N$1201</definedName>
    <definedName name="Slicer_Shop_Name">#N/A</definedName>
    <definedName name="Slicer_Shop_Name1">#N/A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5" i="12" l="1"/>
  <c r="N6" i="12"/>
  <c r="N7" i="12"/>
  <c r="N8" i="12"/>
  <c r="N9" i="12"/>
  <c r="N10" i="12"/>
  <c r="N11" i="12"/>
  <c r="N12" i="12"/>
  <c r="N13" i="12"/>
  <c r="N14" i="12"/>
  <c r="N15" i="12"/>
  <c r="N16" i="12"/>
  <c r="N17" i="12"/>
  <c r="N18" i="12"/>
  <c r="N19" i="12"/>
  <c r="N20" i="12"/>
  <c r="N21" i="12"/>
  <c r="N22" i="12"/>
  <c r="N23" i="12"/>
  <c r="N4" i="12"/>
  <c r="C14" i="10"/>
  <c r="C18" i="10"/>
  <c r="C22" i="10"/>
  <c r="C26" i="10"/>
  <c r="C25" i="10"/>
  <c r="C15" i="10"/>
  <c r="C19" i="10"/>
  <c r="C23" i="10"/>
  <c r="C21" i="10"/>
  <c r="C16" i="10"/>
  <c r="C20" i="10"/>
  <c r="C24" i="10"/>
  <c r="C17" i="10"/>
  <c r="D17" i="10"/>
  <c r="E20" i="10"/>
  <c r="D21" i="10"/>
  <c r="E19" i="10"/>
  <c r="D25" i="10"/>
  <c r="D22" i="10"/>
  <c r="D14" i="10"/>
  <c r="E24" i="10"/>
  <c r="E15" i="10"/>
  <c r="D18" i="10"/>
  <c r="D16" i="10"/>
  <c r="E26" i="10"/>
  <c r="E17" i="10"/>
  <c r="D20" i="10"/>
  <c r="E21" i="10"/>
  <c r="D19" i="10"/>
  <c r="E25" i="10"/>
  <c r="E22" i="10"/>
  <c r="E14" i="10"/>
  <c r="E16" i="10"/>
  <c r="D23" i="10"/>
  <c r="D26" i="10"/>
  <c r="D24" i="10"/>
  <c r="E23" i="10"/>
  <c r="D15" i="10"/>
  <c r="E18"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9AE5FE1-95E1-476D-AEBD-253B92F26057}" keepAlive="1" name="Query - Sales_Data_table" description="Connection to the 'Sales_Data_table' query in the workbook." type="5" refreshedVersion="7" background="1" saveData="1">
    <dbPr connection="Provider=Microsoft.Mashup.OleDb.1;Data Source=$Workbook$;Location=Sales_Data_table;Extended Properties=&quot;&quot;" command="SELECT * FROM [Sales_Data_table]"/>
  </connection>
</connections>
</file>

<file path=xl/sharedStrings.xml><?xml version="1.0" encoding="utf-8"?>
<sst xmlns="http://schemas.openxmlformats.org/spreadsheetml/2006/main" count="7422" uniqueCount="111">
  <si>
    <t>Shop_ID</t>
  </si>
  <si>
    <t>Shop_Name</t>
  </si>
  <si>
    <t>Town</t>
  </si>
  <si>
    <t>Attendant_Name</t>
  </si>
  <si>
    <t>Month</t>
  </si>
  <si>
    <t>Product_Category</t>
  </si>
  <si>
    <t>Product_Name</t>
  </si>
  <si>
    <t>Units_Sold</t>
  </si>
  <si>
    <t>Unit_Price_KES</t>
  </si>
  <si>
    <t>Total_Sales_KES</t>
  </si>
  <si>
    <t>Total_Expenses_KES</t>
  </si>
  <si>
    <t>Inventory_Left</t>
  </si>
  <si>
    <t>Nairobi Hub</t>
  </si>
  <si>
    <t>Nairobi</t>
  </si>
  <si>
    <t>John Mwangi</t>
  </si>
  <si>
    <t>Jan</t>
  </si>
  <si>
    <t>Smartphone</t>
  </si>
  <si>
    <t>Samsung Galaxy S23</t>
  </si>
  <si>
    <t>Mary Wanjiku</t>
  </si>
  <si>
    <t>Iphone 15</t>
  </si>
  <si>
    <t>Tecno Spark 11</t>
  </si>
  <si>
    <t>Infinix Zero 5</t>
  </si>
  <si>
    <t>Laptop</t>
  </si>
  <si>
    <t>Dell Inspiron 15</t>
  </si>
  <si>
    <t>Hp Pavilion 14</t>
  </si>
  <si>
    <t>Macbook Air M2</t>
  </si>
  <si>
    <t>Lenovo Ideapad 3</t>
  </si>
  <si>
    <t>TV</t>
  </si>
  <si>
    <t>Lg 55 Oled</t>
  </si>
  <si>
    <t>Samsung 50 Led</t>
  </si>
  <si>
    <t>Sony Bravia 60</t>
  </si>
  <si>
    <t>Tcl 43 Led</t>
  </si>
  <si>
    <t>Headphones</t>
  </si>
  <si>
    <t>Sony Wh-1000Xm5</t>
  </si>
  <si>
    <t>Beats Studio 3</t>
  </si>
  <si>
    <t>Jbl Tune 500</t>
  </si>
  <si>
    <t>Bose Quietcomfort 45</t>
  </si>
  <si>
    <t>Camera</t>
  </si>
  <si>
    <t>Canon Eos R10</t>
  </si>
  <si>
    <t>Nikon D3500</t>
  </si>
  <si>
    <t>Sony Alpha 7C</t>
  </si>
  <si>
    <t>Gopro Hero 11</t>
  </si>
  <si>
    <t>Feb</t>
  </si>
  <si>
    <t>Mar</t>
  </si>
  <si>
    <t>Apr</t>
  </si>
  <si>
    <t>May</t>
  </si>
  <si>
    <t>Jun</t>
  </si>
  <si>
    <t>Jul</t>
  </si>
  <si>
    <t>Aug</t>
  </si>
  <si>
    <t>Sep</t>
  </si>
  <si>
    <t>Oct</t>
  </si>
  <si>
    <t>Nov</t>
  </si>
  <si>
    <t>Dec</t>
  </si>
  <si>
    <t>Coast Mart</t>
  </si>
  <si>
    <t>Mombasa</t>
  </si>
  <si>
    <t>Ali Omar</t>
  </si>
  <si>
    <t>Amina Hassan</t>
  </si>
  <si>
    <t>Lakeview Store</t>
  </si>
  <si>
    <t>Kisumu</t>
  </si>
  <si>
    <t>Lucy Auma</t>
  </si>
  <si>
    <t>Peter Ochieng</t>
  </si>
  <si>
    <t>Rift Valley Tech</t>
  </si>
  <si>
    <t>Nakuru</t>
  </si>
  <si>
    <t>James Kiptoo</t>
  </si>
  <si>
    <t>Faith Njeri</t>
  </si>
  <si>
    <t>Highland Electronics</t>
  </si>
  <si>
    <t>Eldoret</t>
  </si>
  <si>
    <t>David Kiplagat</t>
  </si>
  <si>
    <t>Grace Chebet</t>
  </si>
  <si>
    <t>Row Labels</t>
  </si>
  <si>
    <t>Grand Total</t>
  </si>
  <si>
    <t>Sum of Total_Sales_KES</t>
  </si>
  <si>
    <t>Q1. which products are the top sallers acrossall shops</t>
  </si>
  <si>
    <t>Profit_Margin</t>
  </si>
  <si>
    <t>Sum of Profit_Margin</t>
  </si>
  <si>
    <t>Q2. Which shops have the highest revenue and profit margins?</t>
  </si>
  <si>
    <t>(All)</t>
  </si>
  <si>
    <t>Q3. Which months show peak sales for electronics, and are they product-specific?</t>
  </si>
  <si>
    <t>Column Labels</t>
  </si>
  <si>
    <t>Attendants</t>
  </si>
  <si>
    <t>Q4. How do attendants perform by product category (e.g., laptops vs smartphones)?</t>
  </si>
  <si>
    <t>Sum of Inventory_Left</t>
  </si>
  <si>
    <t>Q5. Are there shops with high unsold inventory</t>
  </si>
  <si>
    <t>Sum of Units_Sold</t>
  </si>
  <si>
    <t>Q6. Are there regional preferences for certain electronics in Nairobi vs Mombasa vs Kisumu vs Eldoert vs Nakuru?</t>
  </si>
  <si>
    <t>Dates</t>
  </si>
  <si>
    <t xml:space="preserve"> Profit_Margin </t>
  </si>
  <si>
    <t>Forecast( Profit_Margin )</t>
  </si>
  <si>
    <t>Lower Confidence Bound( Profit_Margin )</t>
  </si>
  <si>
    <t>Upper Confidence Bound( Profit_Margin )</t>
  </si>
  <si>
    <t>Sum of Total_Expenses_KES</t>
  </si>
  <si>
    <t>Efficiency in %</t>
  </si>
  <si>
    <t>Q8. Are there shops with high expenses relative to revenue, suggesting inefficiency?</t>
  </si>
  <si>
    <t>Product_Names</t>
  </si>
  <si>
    <t>Q9. Which products should get marketing promotions based on slow sales?</t>
  </si>
  <si>
    <t>Total_Sales</t>
  </si>
  <si>
    <t>Promotion_Flag</t>
  </si>
  <si>
    <t>Average sales</t>
  </si>
  <si>
    <t xml:space="preserve">Instuctions on how to use </t>
  </si>
  <si>
    <t>Don’t change or mess anything in the sales data if you want use to pratice and answer the questions kindly use the sales original data</t>
  </si>
  <si>
    <t>The questions are the are 1 to 9 also in this workbook you can see sheets named Q1 to Q9 those are my working don’t change or alter  anything</t>
  </si>
  <si>
    <t>Questions are:</t>
  </si>
  <si>
    <t>Q1. Which products are the top sellers across all shops?</t>
  </si>
  <si>
    <r>
      <t xml:space="preserve">Q2.Which shops have the </t>
    </r>
    <r>
      <rPr>
        <b/>
        <sz val="11"/>
        <color theme="1"/>
        <rFont val="Calibri"/>
        <family val="2"/>
        <scheme val="minor"/>
      </rPr>
      <t>highest revenue and profit margins</t>
    </r>
    <r>
      <rPr>
        <sz val="11"/>
        <color theme="1"/>
        <rFont val="Calibri"/>
        <family val="2"/>
        <scheme val="minor"/>
      </rPr>
      <t>?</t>
    </r>
  </si>
  <si>
    <t>Q3.Which months show peak sales for electronics, and are they product-specific?</t>
  </si>
  <si>
    <t>Q4 . How do attendants perform by product category (e.g., laptops vs smartphones)?</t>
  </si>
  <si>
    <t>Q5.  Are there shops with high unsold inventory</t>
  </si>
  <si>
    <t>Q7. Can we forecast sales per product category for next year (2026) using last year’s trends?</t>
  </si>
  <si>
    <r>
      <t xml:space="preserve">If you want to collab with me or any assistance am ready  kindly </t>
    </r>
    <r>
      <rPr>
        <b/>
        <sz val="11"/>
        <color theme="1"/>
        <rFont val="Calibri"/>
        <family val="2"/>
        <scheme val="minor"/>
      </rPr>
      <t>call or whatsapp +254 700040045</t>
    </r>
  </si>
  <si>
    <t xml:space="preserve">In sheet sales data table contain the clean data which also I have some columns to work with the question </t>
  </si>
  <si>
    <t>The sheet that contains the original sales data is the original data which is not cleaned or nothing has been doned to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</si>
</sst>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Ksh&quot;* #,##0_-;\-&quot;Ksh&quot;* #,##0_-;_-&quot;Ksh&quot;* &quot;-&quot;_-;_-@_-"/>
    <numFmt numFmtId="44" formatCode="_-&quot;Ksh&quot;* #,##0.00_-;\-&quot;Ksh&quot;* #,##0.00_-;_-&quot;Ksh&quot;* &quot;-&quot;??_-;_-@_-"/>
    <numFmt numFmtId="164" formatCode="_-&quot;Ksh&quot;* #,##0_-;\-&quot;Ksh&quot;* #,##0_-;_-&quot;Ksh&quot;* &quot;-&quot;??_-;_-@_-"/>
    <numFmt numFmtId="165" formatCode="&quot;Ksh&quot;#,##0"/>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20">
    <xf numFmtId="0" fontId="0" fillId="0" borderId="0" xfId="0"/>
    <xf numFmtId="0" fontId="0" fillId="0" borderId="0" xfId="0" applyNumberFormat="1"/>
    <xf numFmtId="1" fontId="0" fillId="0" borderId="0" xfId="0" applyNumberFormat="1"/>
    <xf numFmtId="164" fontId="0" fillId="0" borderId="0" xfId="1" applyNumberFormat="1" applyFont="1"/>
    <xf numFmtId="1" fontId="0" fillId="0" borderId="0" xfId="1" applyNumberFormat="1" applyFont="1"/>
    <xf numFmtId="0" fontId="0" fillId="0" borderId="0" xfId="0" pivotButton="1"/>
    <xf numFmtId="0" fontId="0" fillId="0" borderId="0" xfId="0" applyAlignment="1">
      <alignment horizontal="left"/>
    </xf>
    <xf numFmtId="42" fontId="0" fillId="0" borderId="0" xfId="0" applyNumberFormat="1"/>
    <xf numFmtId="165" fontId="0" fillId="0" borderId="0" xfId="0" applyNumberFormat="1"/>
    <xf numFmtId="0" fontId="2" fillId="0" borderId="0" xfId="0" applyFont="1"/>
    <xf numFmtId="9" fontId="0" fillId="0" borderId="0" xfId="0" applyNumberFormat="1"/>
    <xf numFmtId="14" fontId="0" fillId="0" borderId="0" xfId="0" applyNumberFormat="1"/>
    <xf numFmtId="17" fontId="0" fillId="0" borderId="0" xfId="0" applyNumberFormat="1"/>
    <xf numFmtId="164" fontId="0" fillId="0" borderId="0" xfId="0" applyNumberFormat="1"/>
    <xf numFmtId="0" fontId="2" fillId="0" borderId="0" xfId="0" applyFont="1" applyAlignment="1">
      <alignment horizontal="center" vertical="center" wrapText="1"/>
    </xf>
    <xf numFmtId="0" fontId="0" fillId="0" borderId="0" xfId="0" applyFont="1" applyAlignment="1">
      <alignment horizontal="center" vertical="center" wrapText="1"/>
    </xf>
    <xf numFmtId="0" fontId="2" fillId="0" borderId="0" xfId="0" applyFont="1" applyAlignment="1">
      <alignment horizontal="center"/>
    </xf>
    <xf numFmtId="0" fontId="0" fillId="0" borderId="0" xfId="0" applyAlignment="1">
      <alignment horizontal="center"/>
    </xf>
    <xf numFmtId="0" fontId="2" fillId="0" borderId="0" xfId="0" applyFont="1" applyAlignment="1">
      <alignment horizontal="center" wrapText="1"/>
    </xf>
    <xf numFmtId="0" fontId="2" fillId="0" borderId="0" xfId="0" applyFont="1" applyAlignment="1">
      <alignment horizontal="left" vertical="center"/>
    </xf>
  </cellXfs>
  <cellStyles count="2">
    <cellStyle name="Currency" xfId="1" builtinId="4"/>
    <cellStyle name="Normal" xfId="0" builtinId="0"/>
  </cellStyles>
  <dxfs count="28">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165" formatCode="&quot;Ksh&quot;#,##0"/>
    </dxf>
    <dxf>
      <alignment horizontal="left"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dxf>
    <dxf>
      <fill>
        <patternFill>
          <bgColor rgb="FFFF5050"/>
        </patternFill>
      </fill>
    </dxf>
    <dxf>
      <fill>
        <patternFill>
          <bgColor theme="9" tint="-0.24994659260841701"/>
        </patternFill>
      </fill>
    </dxf>
    <dxf>
      <numFmt numFmtId="164" formatCode="_-&quot;Ksh&quot;* #,##0_-;\-&quot;Ksh&quot;* #,##0_-;_-&quot;Ksh&quot;* &quot;-&quot;??_-;_-@_-"/>
    </dxf>
    <dxf>
      <numFmt numFmtId="164" formatCode="_-&quot;Ksh&quot;* #,##0_-;\-&quot;Ksh&quot;* #,##0_-;_-&quot;Ksh&quot;* &quot;-&quot;??_-;_-@_-"/>
    </dxf>
    <dxf>
      <numFmt numFmtId="164" formatCode="_-&quot;Ksh&quot;* #,##0_-;\-&quot;Ksh&quot;* #,##0_-;_-&quot;Ksh&quot;* &quot;-&quot;??_-;_-@_-"/>
    </dxf>
    <dxf>
      <numFmt numFmtId="22" formatCode="mmm\-yy"/>
    </dxf>
    <dxf>
      <numFmt numFmtId="13" formatCode="0%"/>
    </dxf>
    <dxf>
      <numFmt numFmtId="13" formatCode="0%"/>
    </dxf>
    <dxf>
      <numFmt numFmtId="13" formatCode="0%"/>
    </dxf>
    <dxf>
      <numFmt numFmtId="166" formatCode="0.0%"/>
    </dxf>
    <dxf>
      <numFmt numFmtId="1" formatCode="0"/>
    </dxf>
    <dxf>
      <numFmt numFmtId="164" formatCode="_-&quot;Ksh&quot;* #,##0_-;\-&quot;Ksh&quot;* #,##0_-;_-&quot;Ksh&quot;* &quot;-&quot;??_-;_-@_-"/>
    </dxf>
    <dxf>
      <numFmt numFmtId="164" formatCode="_-&quot;Ksh&quot;* #,##0_-;\-&quot;Ksh&quot;* #,##0_-;_-&quot;Ksh&quot;* &quot;-&quot;??_-;_-@_-"/>
    </dxf>
    <dxf>
      <numFmt numFmtId="164" formatCode="_-&quot;Ksh&quot;* #,##0_-;\-&quot;Ksh&quot;* #,##0_-;_-&quot;Ksh&quot;* &quot;-&quot;??_-;_-@_-"/>
    </dxf>
    <dxf>
      <numFmt numFmtId="164" formatCode="_-&quot;Ksh&quot;* #,##0_-;\-&quot;Ksh&quot;* #,##0_-;_-&quot;Ksh&quot;* &quot;-&quot;??_-;_-@_-"/>
    </dxf>
    <dxf>
      <numFmt numFmtId="1" formatCode="0"/>
    </dxf>
    <dxf>
      <numFmt numFmtId="0" formatCode="General"/>
    </dxf>
    <dxf>
      <numFmt numFmtId="0" formatCode="General"/>
    </dxf>
    <dxf>
      <numFmt numFmtId="22" formatCode="mmm\-yy"/>
    </dxf>
    <dxf>
      <numFmt numFmtId="19" formatCode="dd/mm/yyyy"/>
    </dxf>
    <dxf>
      <numFmt numFmtId="0" formatCode="General"/>
    </dxf>
    <dxf>
      <numFmt numFmtId="0" formatCode="General"/>
    </dxf>
    <dxf>
      <numFmt numFmtId="0" formatCode="General"/>
    </dxf>
    <dxf>
      <numFmt numFmtId="1" formatCode="0"/>
    </dxf>
  </dxfs>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[Sales_Data_electronic_shop23.xlsx]Q1.!PivotTable1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which products are the top sallers across all shops</a:t>
            </a:r>
          </a:p>
        </c:rich>
      </c:tx>
      <c:layout>
        <c:manualLayout>
          <c:xMode val="edge"/>
          <c:yMode val="edge"/>
          <c:x val="9.5822397200350114E-4"/>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'Q1.'!$B$3</c:f>
              <c:strCache>
                <c:ptCount val="1"/>
                <c:pt idx="0">
                  <c:v>Total</c:v>
                </c:pt>
              </c:strCache>
            </c:strRef>
          </c:tx>
          <c:spPr>
            <a:solidFill>
              <a:schemeClr val="accent1"/>
            </a:solidFill>
            <a:ln>
              <a:noFill/>
            </a:ln>
            <a:effectLst/>
          </c:spPr>
          <c:invertIfNegative val="0"/>
          <c:cat>
            <c:strRef>
              <c:f>'Q1.'!$B$3</c:f>
              <c:strCache>
                <c:ptCount val="10"/>
                <c:pt idx="0">
                  <c:v>Iphone 15</c:v>
                </c:pt>
                <c:pt idx="1">
                  <c:v>Samsung 50 Led</c:v>
                </c:pt>
                <c:pt idx="2">
                  <c:v>Canon Eos R10</c:v>
                </c:pt>
                <c:pt idx="3">
                  <c:v>Lg 55 Oled</c:v>
                </c:pt>
                <c:pt idx="4">
                  <c:v>Nikon D3500</c:v>
                </c:pt>
                <c:pt idx="5">
                  <c:v>Tcl 43 Led</c:v>
                </c:pt>
                <c:pt idx="6">
                  <c:v>Samsung Galaxy S23</c:v>
                </c:pt>
                <c:pt idx="7">
                  <c:v>Infinix Zero 5</c:v>
                </c:pt>
                <c:pt idx="8">
                  <c:v>Sony Bravia 60</c:v>
                </c:pt>
                <c:pt idx="9">
                  <c:v>Macbook Air M2</c:v>
                </c:pt>
              </c:strCache>
            </c:strRef>
          </c:cat>
          <c:val>
            <c:numRef>
              <c:f>'Q1.'!$B$3</c:f>
              <c:numCache>
                <c:formatCode>_("Ksh"* #,##0_);_("Ksh"* \(#,##0\);_("Ksh"* "-"_);_(@_)</c:formatCode>
                <c:ptCount val="10"/>
                <c:pt idx="0">
                  <c:v>13219362</c:v>
                </c:pt>
                <c:pt idx="1">
                  <c:v>12886718</c:v>
                </c:pt>
                <c:pt idx="2">
                  <c:v>12662293</c:v>
                </c:pt>
                <c:pt idx="3">
                  <c:v>11759364</c:v>
                </c:pt>
                <c:pt idx="4">
                  <c:v>11057808</c:v>
                </c:pt>
                <c:pt idx="5">
                  <c:v>10604503</c:v>
                </c:pt>
                <c:pt idx="6">
                  <c:v>10064123</c:v>
                </c:pt>
                <c:pt idx="7">
                  <c:v>10000065</c:v>
                </c:pt>
                <c:pt idx="8">
                  <c:v>9644645</c:v>
                </c:pt>
                <c:pt idx="9">
                  <c:v>9448458</c:v>
                </c:pt>
              </c:numCache>
            </c:numRef>
          </c:val>
          <c:extLst>
            <c:ext xmlns:c16="http://schemas.microsoft.com/office/drawing/2014/chart" uri="{C3380CC4-5D6E-409C-BE32-E72D297353CC}">
              <c16:uniqueId val="{00000000-B496-4ECA-9CFF-4A105BD02DF3}"/>
            </c:ext>
          </c:extLst>
        </c:ser>
        <c:dLbls>
          <c:showLegendKey val="0"/>
          <c:showVal val="0"/>
          <c:showCatName val="0"/>
          <c:showSerName val="0"/>
          <c:showPercent val="0"/>
          <c:showBubbleSize val="0"/>
        </c:dLbls>
        <c:gapWidth val="219"/>
        <c:overlap val="-27"/>
        <c:axId val="2108310048"/>
        <c:axId val="2108286752"/>
      </c:barChart>
      <c:catAx>
        <c:axId val="21083100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TOP 10 Products</a:t>
                </a:r>
                <a:r>
                  <a:rPr lang="en-US" baseline="0"/>
                  <a:t>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108286752"/>
        <c:crosses val="autoZero"/>
        <c:auto val="1"/>
        <c:lblAlgn val="ctr"/>
        <c:lblOffset val="100"/>
        <c:noMultiLvlLbl val="0"/>
      </c:catAx>
      <c:valAx>
        <c:axId val="2108286752"/>
        <c:scaling>
          <c:orientation val="minMax"/>
        </c:scaling>
        <c:delete val="0"/>
        <c:axPos val="l"/>
        <c:majorGridlines>
          <c:spPr>
            <a:ln w="9525" cap="flat" cmpd="sng" algn="ctr">
              <a:solidFill>
                <a:schemeClr val="tx1">
                  <a:lumMod val="15000"/>
                  <a:lumOff val="85000"/>
                </a:schemeClr>
              </a:solidFill>
              <a:round/>
            </a:ln>
            <a:effectLst/>
          </c:spPr>
        </c:majorGridlines>
        <c:title>
          <c:tx>
            <c:strRef>
              <c:f>'Q1.'!$B$3</c:f>
              <c:strCache>
                <c:ptCount val="1"/>
                <c:pt idx="0">
                  <c:v>Sum of Total_Sales_KES</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1083100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[Sales_Data_electronic_shop23.xlsx]Q2.!PivotTable2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Which shops have the highest revenue and profit margins?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'Q2.'!$B$3</c:f>
              <c:strCache>
                <c:ptCount val="1"/>
                <c:pt idx="0">
                  <c:v>Sum of Total_Sales_KES</c:v>
                </c:pt>
              </c:strCache>
            </c:strRef>
          </c:tx>
          <c:spPr>
            <a:solidFill>
              <a:schemeClr val="accent1"/>
            </a:solidFill>
            <a:ln>
              <a:noFill/>
            </a:ln>
            <a:effectLst/>
          </c:spPr>
          <c:invertIfNegative val="0"/>
          <c:cat>
            <c:strRef>
              <c:f>'Q2.'!$A$4:$A$9</c:f>
              <c:strCache>
                <c:ptCount val="5"/>
                <c:pt idx="0">
                  <c:v>Lakeview Store</c:v>
                </c:pt>
                <c:pt idx="1">
                  <c:v>Coast Mart</c:v>
                </c:pt>
                <c:pt idx="2">
                  <c:v>Rift Valley Tech</c:v>
                </c:pt>
                <c:pt idx="3">
                  <c:v>Highland Electronics</c:v>
                </c:pt>
                <c:pt idx="4">
                  <c:v>Nairobi Hub</c:v>
                </c:pt>
              </c:strCache>
            </c:strRef>
          </c:cat>
          <c:val>
            <c:numRef>
              <c:f>'Q2.'!$B$4:$B$9</c:f>
              <c:numCache>
                <c:formatCode>"Ksh"#,##0</c:formatCode>
                <c:ptCount val="5"/>
                <c:pt idx="0">
                  <c:v>179450120</c:v>
                </c:pt>
                <c:pt idx="1">
                  <c:v>179114592</c:v>
                </c:pt>
                <c:pt idx="2">
                  <c:v>167120750</c:v>
                </c:pt>
                <c:pt idx="3">
                  <c:v>162835078</c:v>
                </c:pt>
                <c:pt idx="4">
                  <c:v>161721072</c:v>
                </c:pt>
              </c:numCache>
            </c:numRef>
          </c:val>
          <c:extLst>
            <c:ext xmlns:c16="http://schemas.microsoft.com/office/drawing/2014/chart" uri="{C3380CC4-5D6E-409C-BE32-E72D297353CC}">
              <c16:uniqueId val="{00000000-735D-4BCE-A826-EAF6F97EC000}"/>
            </c:ext>
          </c:extLst>
        </c:ser>
        <c:ser>
          <c:idx val="1"/>
          <c:order val="1"/>
          <c:tx>
            <c:strRef>
              <c:f>'Q2.'!$C$3</c:f>
              <c:strCache>
                <c:ptCount val="1"/>
                <c:pt idx="0">
                  <c:v>Sum of Profit_Margin</c:v>
                </c:pt>
              </c:strCache>
            </c:strRef>
          </c:tx>
          <c:spPr>
            <a:solidFill>
              <a:schemeClr val="accent2"/>
            </a:solidFill>
            <a:ln>
              <a:noFill/>
            </a:ln>
            <a:effectLst/>
          </c:spPr>
          <c:invertIfNegative val="0"/>
          <c:cat>
            <c:strRef>
              <c:f>'Q2.'!$A$4:$A$9</c:f>
              <c:strCache>
                <c:ptCount val="5"/>
                <c:pt idx="0">
                  <c:v>Lakeview Store</c:v>
                </c:pt>
                <c:pt idx="1">
                  <c:v>Coast Mart</c:v>
                </c:pt>
                <c:pt idx="2">
                  <c:v>Rift Valley Tech</c:v>
                </c:pt>
                <c:pt idx="3">
                  <c:v>Highland Electronics</c:v>
                </c:pt>
                <c:pt idx="4">
                  <c:v>Nairobi Hub</c:v>
                </c:pt>
              </c:strCache>
            </c:strRef>
          </c:cat>
          <c:val>
            <c:numRef>
              <c:f>'Q2.'!$C$4:$C$9</c:f>
              <c:numCache>
                <c:formatCode>"Ksh"#,##0</c:formatCode>
                <c:ptCount val="5"/>
                <c:pt idx="0">
                  <c:v>81534085</c:v>
                </c:pt>
                <c:pt idx="1">
                  <c:v>80264551</c:v>
                </c:pt>
                <c:pt idx="2">
                  <c:v>74424192</c:v>
                </c:pt>
                <c:pt idx="3">
                  <c:v>71068005</c:v>
                </c:pt>
                <c:pt idx="4">
                  <c:v>72171703</c:v>
                </c:pt>
              </c:numCache>
            </c:numRef>
          </c:val>
          <c:extLst>
            <c:ext xmlns:c16="http://schemas.microsoft.com/office/drawing/2014/chart" uri="{C3380CC4-5D6E-409C-BE32-E72D297353CC}">
              <c16:uniqueId val="{00000001-735D-4BCE-A826-EAF6F97EC000}"/>
            </c:ext>
          </c:extLst>
        </c:ser>
        <c:dLbls>
          <c:showLegendKey val="0"/>
          <c:showVal val="0"/>
          <c:showCatName val="0"/>
          <c:showSerName val="0"/>
          <c:showPercent val="0"/>
          <c:showBubbleSize val="0"/>
        </c:dLbls>
        <c:gapWidth val="219"/>
        <c:overlap val="-27"/>
        <c:axId val="61792656"/>
        <c:axId val="61784336"/>
      </c:barChart>
      <c:catAx>
        <c:axId val="6179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Shops Names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1784336"/>
        <c:crosses val="autoZero"/>
        <c:auto val="1"/>
        <c:lblAlgn val="ctr"/>
        <c:lblOffset val="100"/>
        <c:noMultiLvlLbl val="0"/>
      </c:catAx>
      <c:valAx>
        <c:axId val="617843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Renenue</a:t>
                </a:r>
                <a:r>
                  <a:rPr lang="en-US" baseline="0"/>
                  <a:t> &amp; Profit_Margin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1792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[Sales_Data_electronic_shop23.xlsx]Q3.!PivotTable3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Which months show </a:t>
            </a:r>
            <a:r>
              <a:rPr lang="en-US" sz="1400" b="1" i="0" u="none" strike="noStrike" baseline="0"/>
              <a:t>peak sales for electronics</a:t>
            </a:r>
            <a:r>
              <a:rPr lang="en-US" sz="1400" b="0" i="0" u="none" strike="noStrike" baseline="0"/>
              <a:t>, and are they product-specific?</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'Q3.'!$B$3:$B$4</c:f>
              <c:strCache>
                <c:ptCount val="1"/>
                <c:pt idx="0">
                  <c:v>Beats Studio 3</c:v>
                </c:pt>
              </c:strCache>
            </c:strRef>
          </c:tx>
          <c:spPr>
            <a:ln w="28575" cap="rnd">
              <a:solidFill>
                <a:schemeClr val="accent1"/>
              </a:solidFill>
              <a:round/>
            </a:ln>
            <a:effectLst/>
          </c:spPr>
          <c:marker>
            <c:symbol val="none"/>
          </c:marker>
          <c:cat>
            <c:strRef>
              <c:f>'Q3.'!$A$5:$A$17</c:f>
              <c:strCache>
                <c:ptCount val="12"/>
                <c:pt idx="0">
                  <c:v>Aug</c:v>
                </c:pt>
                <c:pt idx="1">
                  <c:v>Jul</c:v>
                </c:pt>
                <c:pt idx="2">
                  <c:v>Jan</c:v>
                </c:pt>
                <c:pt idx="3">
                  <c:v>May</c:v>
                </c:pt>
                <c:pt idx="4">
                  <c:v>Jun</c:v>
                </c:pt>
                <c:pt idx="5">
                  <c:v>Mar</c:v>
                </c:pt>
                <c:pt idx="6">
                  <c:v>Nov</c:v>
                </c:pt>
                <c:pt idx="7">
                  <c:v>Sep</c:v>
                </c:pt>
                <c:pt idx="8">
                  <c:v>Apr</c:v>
                </c:pt>
                <c:pt idx="9">
                  <c:v>Feb</c:v>
                </c:pt>
                <c:pt idx="10">
                  <c:v>Dec</c:v>
                </c:pt>
                <c:pt idx="11">
                  <c:v>Oct</c:v>
                </c:pt>
              </c:strCache>
            </c:strRef>
          </c:cat>
          <c:val>
            <c:numRef>
              <c:f>'Q3.'!$B$5:$B$17</c:f>
              <c:numCache>
                <c:formatCode>"Ksh"#,##0</c:formatCode>
                <c:ptCount val="12"/>
                <c:pt idx="0">
                  <c:v>452912</c:v>
                </c:pt>
                <c:pt idx="1">
                  <c:v>444136</c:v>
                </c:pt>
                <c:pt idx="2">
                  <c:v>539848</c:v>
                </c:pt>
                <c:pt idx="3">
                  <c:v>848278</c:v>
                </c:pt>
                <c:pt idx="4">
                  <c:v>760518</c:v>
                </c:pt>
                <c:pt idx="5">
                  <c:v>432343</c:v>
                </c:pt>
                <c:pt idx="6">
                  <c:v>442574</c:v>
                </c:pt>
                <c:pt idx="7">
                  <c:v>473187</c:v>
                </c:pt>
                <c:pt idx="8">
                  <c:v>491578</c:v>
                </c:pt>
                <c:pt idx="9">
                  <c:v>588822</c:v>
                </c:pt>
                <c:pt idx="10">
                  <c:v>738827</c:v>
                </c:pt>
                <c:pt idx="11">
                  <c:v>644963</c:v>
                </c:pt>
              </c:numCache>
            </c:numRef>
          </c:val>
          <c:smooth val="0"/>
          <c:extLst>
            <c:ext xmlns:c16="http://schemas.microsoft.com/office/drawing/2014/chart" uri="{C3380CC4-5D6E-409C-BE32-E72D297353CC}">
              <c16:uniqueId val="{00000000-51D8-41B5-AA10-5B1FBE7D9B4B}"/>
            </c:ext>
          </c:extLst>
        </c:ser>
        <c:ser>
          <c:idx val="1"/>
          <c:order val="1"/>
          <c:tx>
            <c:strRef>
              <c:f>'Q3.'!$C$3:$C$4</c:f>
              <c:strCache>
                <c:ptCount val="1"/>
                <c:pt idx="0">
                  <c:v>Bose Quietcomfort 45</c:v>
                </c:pt>
              </c:strCache>
            </c:strRef>
          </c:tx>
          <c:spPr>
            <a:ln w="28575" cap="rnd">
              <a:solidFill>
                <a:schemeClr val="accent2"/>
              </a:solidFill>
              <a:round/>
            </a:ln>
            <a:effectLst/>
          </c:spPr>
          <c:marker>
            <c:symbol val="none"/>
          </c:marker>
          <c:cat>
            <c:strRef>
              <c:f>'Q3.'!$A$5:$A$17</c:f>
              <c:strCache>
                <c:ptCount val="12"/>
                <c:pt idx="0">
                  <c:v>Aug</c:v>
                </c:pt>
                <c:pt idx="1">
                  <c:v>Jul</c:v>
                </c:pt>
                <c:pt idx="2">
                  <c:v>Jan</c:v>
                </c:pt>
                <c:pt idx="3">
                  <c:v>May</c:v>
                </c:pt>
                <c:pt idx="4">
                  <c:v>Jun</c:v>
                </c:pt>
                <c:pt idx="5">
                  <c:v>Mar</c:v>
                </c:pt>
                <c:pt idx="6">
                  <c:v>Nov</c:v>
                </c:pt>
                <c:pt idx="7">
                  <c:v>Sep</c:v>
                </c:pt>
                <c:pt idx="8">
                  <c:v>Apr</c:v>
                </c:pt>
                <c:pt idx="9">
                  <c:v>Feb</c:v>
                </c:pt>
                <c:pt idx="10">
                  <c:v>Dec</c:v>
                </c:pt>
                <c:pt idx="11">
                  <c:v>Oct</c:v>
                </c:pt>
              </c:strCache>
            </c:strRef>
          </c:cat>
          <c:val>
            <c:numRef>
              <c:f>'Q3.'!$C$5:$C$17</c:f>
              <c:numCache>
                <c:formatCode>"Ksh"#,##0</c:formatCode>
                <c:ptCount val="12"/>
                <c:pt idx="0">
                  <c:v>460734</c:v>
                </c:pt>
                <c:pt idx="1">
                  <c:v>640123</c:v>
                </c:pt>
                <c:pt idx="2">
                  <c:v>648594</c:v>
                </c:pt>
                <c:pt idx="3">
                  <c:v>878982</c:v>
                </c:pt>
                <c:pt idx="4">
                  <c:v>970310</c:v>
                </c:pt>
                <c:pt idx="5">
                  <c:v>992057</c:v>
                </c:pt>
                <c:pt idx="6">
                  <c:v>585029</c:v>
                </c:pt>
                <c:pt idx="7">
                  <c:v>735538</c:v>
                </c:pt>
                <c:pt idx="8">
                  <c:v>771596</c:v>
                </c:pt>
                <c:pt idx="9">
                  <c:v>551035</c:v>
                </c:pt>
                <c:pt idx="10">
                  <c:v>730861</c:v>
                </c:pt>
                <c:pt idx="11">
                  <c:v>524741</c:v>
                </c:pt>
              </c:numCache>
            </c:numRef>
          </c:val>
          <c:smooth val="0"/>
          <c:extLst>
            <c:ext xmlns:c16="http://schemas.microsoft.com/office/drawing/2014/chart" uri="{C3380CC4-5D6E-409C-BE32-E72D297353CC}">
              <c16:uniqueId val="{00000001-51D8-41B5-AA10-5B1FBE7D9B4B}"/>
            </c:ext>
          </c:extLst>
        </c:ser>
        <c:ser>
          <c:idx val="2"/>
          <c:order val="2"/>
          <c:tx>
            <c:strRef>
              <c:f>'Q3.'!$D$3:$D$4</c:f>
              <c:strCache>
                <c:ptCount val="1"/>
                <c:pt idx="0">
                  <c:v>Canon Eos R10</c:v>
                </c:pt>
              </c:strCache>
            </c:strRef>
          </c:tx>
          <c:spPr>
            <a:ln w="28575" cap="rnd">
              <a:solidFill>
                <a:schemeClr val="accent3"/>
              </a:solidFill>
              <a:round/>
            </a:ln>
            <a:effectLst/>
          </c:spPr>
          <c:marker>
            <c:symbol val="none"/>
          </c:marker>
          <c:cat>
            <c:strRef>
              <c:f>'Q3.'!$A$5:$A$17</c:f>
              <c:strCache>
                <c:ptCount val="12"/>
                <c:pt idx="0">
                  <c:v>Aug</c:v>
                </c:pt>
                <c:pt idx="1">
                  <c:v>Jul</c:v>
                </c:pt>
                <c:pt idx="2">
                  <c:v>Jan</c:v>
                </c:pt>
                <c:pt idx="3">
                  <c:v>May</c:v>
                </c:pt>
                <c:pt idx="4">
                  <c:v>Jun</c:v>
                </c:pt>
                <c:pt idx="5">
                  <c:v>Mar</c:v>
                </c:pt>
                <c:pt idx="6">
                  <c:v>Nov</c:v>
                </c:pt>
                <c:pt idx="7">
                  <c:v>Sep</c:v>
                </c:pt>
                <c:pt idx="8">
                  <c:v>Apr</c:v>
                </c:pt>
                <c:pt idx="9">
                  <c:v>Feb</c:v>
                </c:pt>
                <c:pt idx="10">
                  <c:v>Dec</c:v>
                </c:pt>
                <c:pt idx="11">
                  <c:v>Oct</c:v>
                </c:pt>
              </c:strCache>
            </c:strRef>
          </c:cat>
          <c:val>
            <c:numRef>
              <c:f>'Q3.'!$D$5:$D$17</c:f>
              <c:numCache>
                <c:formatCode>"Ksh"#,##0</c:formatCode>
                <c:ptCount val="12"/>
                <c:pt idx="0">
                  <c:v>4984391</c:v>
                </c:pt>
                <c:pt idx="1">
                  <c:v>5060630</c:v>
                </c:pt>
                <c:pt idx="2">
                  <c:v>4908532</c:v>
                </c:pt>
                <c:pt idx="3">
                  <c:v>6384412</c:v>
                </c:pt>
                <c:pt idx="4">
                  <c:v>5485299</c:v>
                </c:pt>
                <c:pt idx="5">
                  <c:v>4395916</c:v>
                </c:pt>
                <c:pt idx="6">
                  <c:v>3505371</c:v>
                </c:pt>
                <c:pt idx="7">
                  <c:v>5542716</c:v>
                </c:pt>
                <c:pt idx="8">
                  <c:v>3662632</c:v>
                </c:pt>
                <c:pt idx="9">
                  <c:v>8289021</c:v>
                </c:pt>
                <c:pt idx="10">
                  <c:v>6480728</c:v>
                </c:pt>
                <c:pt idx="11">
                  <c:v>6186786</c:v>
                </c:pt>
              </c:numCache>
            </c:numRef>
          </c:val>
          <c:smooth val="0"/>
          <c:extLst>
            <c:ext xmlns:c16="http://schemas.microsoft.com/office/drawing/2014/chart" uri="{C3380CC4-5D6E-409C-BE32-E72D297353CC}">
              <c16:uniqueId val="{00000002-51D8-41B5-AA10-5B1FBE7D9B4B}"/>
            </c:ext>
          </c:extLst>
        </c:ser>
        <c:ser>
          <c:idx val="3"/>
          <c:order val="3"/>
          <c:tx>
            <c:strRef>
              <c:f>'Q3.'!$E$3:$E$4</c:f>
              <c:strCache>
                <c:ptCount val="1"/>
                <c:pt idx="0">
                  <c:v>Dell Inspiron 15</c:v>
                </c:pt>
              </c:strCache>
            </c:strRef>
          </c:tx>
          <c:spPr>
            <a:ln w="28575" cap="rnd">
              <a:solidFill>
                <a:schemeClr val="accent4"/>
              </a:solidFill>
              <a:round/>
            </a:ln>
            <a:effectLst/>
          </c:spPr>
          <c:marker>
            <c:symbol val="none"/>
          </c:marker>
          <c:cat>
            <c:strRef>
              <c:f>'Q3.'!$A$5:$A$17</c:f>
              <c:strCache>
                <c:ptCount val="12"/>
                <c:pt idx="0">
                  <c:v>Aug</c:v>
                </c:pt>
                <c:pt idx="1">
                  <c:v>Jul</c:v>
                </c:pt>
                <c:pt idx="2">
                  <c:v>Jan</c:v>
                </c:pt>
                <c:pt idx="3">
                  <c:v>May</c:v>
                </c:pt>
                <c:pt idx="4">
                  <c:v>Jun</c:v>
                </c:pt>
                <c:pt idx="5">
                  <c:v>Mar</c:v>
                </c:pt>
                <c:pt idx="6">
                  <c:v>Nov</c:v>
                </c:pt>
                <c:pt idx="7">
                  <c:v>Sep</c:v>
                </c:pt>
                <c:pt idx="8">
                  <c:v>Apr</c:v>
                </c:pt>
                <c:pt idx="9">
                  <c:v>Feb</c:v>
                </c:pt>
                <c:pt idx="10">
                  <c:v>Dec</c:v>
                </c:pt>
                <c:pt idx="11">
                  <c:v>Oct</c:v>
                </c:pt>
              </c:strCache>
            </c:strRef>
          </c:cat>
          <c:val>
            <c:numRef>
              <c:f>'Q3.'!$E$5:$E$17</c:f>
              <c:numCache>
                <c:formatCode>"Ksh"#,##0</c:formatCode>
                <c:ptCount val="12"/>
                <c:pt idx="0">
                  <c:v>1909354</c:v>
                </c:pt>
                <c:pt idx="1">
                  <c:v>1617060</c:v>
                </c:pt>
                <c:pt idx="2">
                  <c:v>3356031</c:v>
                </c:pt>
                <c:pt idx="3">
                  <c:v>3429598</c:v>
                </c:pt>
                <c:pt idx="4">
                  <c:v>5794952</c:v>
                </c:pt>
                <c:pt idx="5">
                  <c:v>2303426</c:v>
                </c:pt>
                <c:pt idx="6">
                  <c:v>5721328</c:v>
                </c:pt>
                <c:pt idx="7">
                  <c:v>4118163</c:v>
                </c:pt>
                <c:pt idx="8">
                  <c:v>3937316</c:v>
                </c:pt>
                <c:pt idx="9">
                  <c:v>5002250</c:v>
                </c:pt>
                <c:pt idx="10">
                  <c:v>1503704</c:v>
                </c:pt>
                <c:pt idx="11">
                  <c:v>5113739</c:v>
                </c:pt>
              </c:numCache>
            </c:numRef>
          </c:val>
          <c:smooth val="0"/>
          <c:extLst>
            <c:ext xmlns:c16="http://schemas.microsoft.com/office/drawing/2014/chart" uri="{C3380CC4-5D6E-409C-BE32-E72D297353CC}">
              <c16:uniqueId val="{00000003-51D8-41B5-AA10-5B1FBE7D9B4B}"/>
            </c:ext>
          </c:extLst>
        </c:ser>
        <c:ser>
          <c:idx val="4"/>
          <c:order val="4"/>
          <c:tx>
            <c:strRef>
              <c:f>'Q3.'!$F$3:$F$4</c:f>
              <c:strCache>
                <c:ptCount val="1"/>
                <c:pt idx="0">
                  <c:v>Gopro Hero 11</c:v>
                </c:pt>
              </c:strCache>
            </c:strRef>
          </c:tx>
          <c:spPr>
            <a:ln w="28575" cap="rnd">
              <a:solidFill>
                <a:schemeClr val="accent5"/>
              </a:solidFill>
              <a:round/>
            </a:ln>
            <a:effectLst/>
          </c:spPr>
          <c:marker>
            <c:symbol val="none"/>
          </c:marker>
          <c:cat>
            <c:strRef>
              <c:f>'Q3.'!$A$5:$A$17</c:f>
              <c:strCache>
                <c:ptCount val="12"/>
                <c:pt idx="0">
                  <c:v>Aug</c:v>
                </c:pt>
                <c:pt idx="1">
                  <c:v>Jul</c:v>
                </c:pt>
                <c:pt idx="2">
                  <c:v>Jan</c:v>
                </c:pt>
                <c:pt idx="3">
                  <c:v>May</c:v>
                </c:pt>
                <c:pt idx="4">
                  <c:v>Jun</c:v>
                </c:pt>
                <c:pt idx="5">
                  <c:v>Mar</c:v>
                </c:pt>
                <c:pt idx="6">
                  <c:v>Nov</c:v>
                </c:pt>
                <c:pt idx="7">
                  <c:v>Sep</c:v>
                </c:pt>
                <c:pt idx="8">
                  <c:v>Apr</c:v>
                </c:pt>
                <c:pt idx="9">
                  <c:v>Feb</c:v>
                </c:pt>
                <c:pt idx="10">
                  <c:v>Dec</c:v>
                </c:pt>
                <c:pt idx="11">
                  <c:v>Oct</c:v>
                </c:pt>
              </c:strCache>
            </c:strRef>
          </c:cat>
          <c:val>
            <c:numRef>
              <c:f>'Q3.'!$F$5:$F$17</c:f>
              <c:numCache>
                <c:formatCode>"Ksh"#,##0</c:formatCode>
                <c:ptCount val="12"/>
                <c:pt idx="0">
                  <c:v>6524966</c:v>
                </c:pt>
                <c:pt idx="1">
                  <c:v>4034578</c:v>
                </c:pt>
                <c:pt idx="2">
                  <c:v>3478926</c:v>
                </c:pt>
                <c:pt idx="3">
                  <c:v>5991073</c:v>
                </c:pt>
                <c:pt idx="4">
                  <c:v>2653146</c:v>
                </c:pt>
                <c:pt idx="5">
                  <c:v>4106643</c:v>
                </c:pt>
                <c:pt idx="6">
                  <c:v>4758526</c:v>
                </c:pt>
                <c:pt idx="7">
                  <c:v>5217607</c:v>
                </c:pt>
                <c:pt idx="8">
                  <c:v>4122086</c:v>
                </c:pt>
                <c:pt idx="9">
                  <c:v>3571361</c:v>
                </c:pt>
                <c:pt idx="10">
                  <c:v>2583927</c:v>
                </c:pt>
                <c:pt idx="11">
                  <c:v>3315422</c:v>
                </c:pt>
              </c:numCache>
            </c:numRef>
          </c:val>
          <c:smooth val="0"/>
          <c:extLst>
            <c:ext xmlns:c16="http://schemas.microsoft.com/office/drawing/2014/chart" uri="{C3380CC4-5D6E-409C-BE32-E72D297353CC}">
              <c16:uniqueId val="{00000004-51D8-41B5-AA10-5B1FBE7D9B4B}"/>
            </c:ext>
          </c:extLst>
        </c:ser>
        <c:ser>
          <c:idx val="5"/>
          <c:order val="5"/>
          <c:tx>
            <c:strRef>
              <c:f>'Q3.'!$G$3:$G$4</c:f>
              <c:strCache>
                <c:ptCount val="1"/>
                <c:pt idx="0">
                  <c:v>Hp Pavilion 14</c:v>
                </c:pt>
              </c:strCache>
            </c:strRef>
          </c:tx>
          <c:spPr>
            <a:ln w="28575" cap="rnd">
              <a:solidFill>
                <a:schemeClr val="accent6"/>
              </a:solidFill>
              <a:round/>
            </a:ln>
            <a:effectLst/>
          </c:spPr>
          <c:marker>
            <c:symbol val="none"/>
          </c:marker>
          <c:cat>
            <c:strRef>
              <c:f>'Q3.'!$A$5:$A$17</c:f>
              <c:strCache>
                <c:ptCount val="12"/>
                <c:pt idx="0">
                  <c:v>Aug</c:v>
                </c:pt>
                <c:pt idx="1">
                  <c:v>Jul</c:v>
                </c:pt>
                <c:pt idx="2">
                  <c:v>Jan</c:v>
                </c:pt>
                <c:pt idx="3">
                  <c:v>May</c:v>
                </c:pt>
                <c:pt idx="4">
                  <c:v>Jun</c:v>
                </c:pt>
                <c:pt idx="5">
                  <c:v>Mar</c:v>
                </c:pt>
                <c:pt idx="6">
                  <c:v>Nov</c:v>
                </c:pt>
                <c:pt idx="7">
                  <c:v>Sep</c:v>
                </c:pt>
                <c:pt idx="8">
                  <c:v>Apr</c:v>
                </c:pt>
                <c:pt idx="9">
                  <c:v>Feb</c:v>
                </c:pt>
                <c:pt idx="10">
                  <c:v>Dec</c:v>
                </c:pt>
                <c:pt idx="11">
                  <c:v>Oct</c:v>
                </c:pt>
              </c:strCache>
            </c:strRef>
          </c:cat>
          <c:val>
            <c:numRef>
              <c:f>'Q3.'!$G$5:$G$17</c:f>
              <c:numCache>
                <c:formatCode>"Ksh"#,##0</c:formatCode>
                <c:ptCount val="12"/>
                <c:pt idx="0">
                  <c:v>3894655</c:v>
                </c:pt>
                <c:pt idx="1">
                  <c:v>8171864</c:v>
                </c:pt>
                <c:pt idx="2">
                  <c:v>3243560</c:v>
                </c:pt>
                <c:pt idx="3">
                  <c:v>3265263</c:v>
                </c:pt>
                <c:pt idx="4">
                  <c:v>5521492</c:v>
                </c:pt>
                <c:pt idx="5">
                  <c:v>3278076</c:v>
                </c:pt>
                <c:pt idx="6">
                  <c:v>2925551</c:v>
                </c:pt>
                <c:pt idx="7">
                  <c:v>4719466</c:v>
                </c:pt>
                <c:pt idx="8">
                  <c:v>7553119</c:v>
                </c:pt>
                <c:pt idx="9">
                  <c:v>1250581</c:v>
                </c:pt>
                <c:pt idx="10">
                  <c:v>3240806</c:v>
                </c:pt>
                <c:pt idx="11">
                  <c:v>4496931</c:v>
                </c:pt>
              </c:numCache>
            </c:numRef>
          </c:val>
          <c:smooth val="0"/>
          <c:extLst>
            <c:ext xmlns:c16="http://schemas.microsoft.com/office/drawing/2014/chart" uri="{C3380CC4-5D6E-409C-BE32-E72D297353CC}">
              <c16:uniqueId val="{00000005-51D8-41B5-AA10-5B1FBE7D9B4B}"/>
            </c:ext>
          </c:extLst>
        </c:ser>
        <c:ser>
          <c:idx val="6"/>
          <c:order val="6"/>
          <c:tx>
            <c:strRef>
              <c:f>'Q3.'!$H$3:$H$4</c:f>
              <c:strCache>
                <c:ptCount val="1"/>
                <c:pt idx="0">
                  <c:v>Infinix Zero 5</c:v>
                </c:pt>
              </c:strCache>
            </c:strRef>
          </c:tx>
          <c:spPr>
            <a:ln w="28575" cap="rnd">
              <a:solidFill>
                <a:schemeClr val="accent1">
                  <a:lumMod val="60000"/>
                </a:schemeClr>
              </a:solidFill>
              <a:round/>
            </a:ln>
            <a:effectLst/>
          </c:spPr>
          <c:marker>
            <c:symbol val="none"/>
          </c:marker>
          <c:cat>
            <c:strRef>
              <c:f>'Q3.'!$A$5:$A$17</c:f>
              <c:strCache>
                <c:ptCount val="12"/>
                <c:pt idx="0">
                  <c:v>Aug</c:v>
                </c:pt>
                <c:pt idx="1">
                  <c:v>Jul</c:v>
                </c:pt>
                <c:pt idx="2">
                  <c:v>Jan</c:v>
                </c:pt>
                <c:pt idx="3">
                  <c:v>May</c:v>
                </c:pt>
                <c:pt idx="4">
                  <c:v>Jun</c:v>
                </c:pt>
                <c:pt idx="5">
                  <c:v>Mar</c:v>
                </c:pt>
                <c:pt idx="6">
                  <c:v>Nov</c:v>
                </c:pt>
                <c:pt idx="7">
                  <c:v>Sep</c:v>
                </c:pt>
                <c:pt idx="8">
                  <c:v>Apr</c:v>
                </c:pt>
                <c:pt idx="9">
                  <c:v>Feb</c:v>
                </c:pt>
                <c:pt idx="10">
                  <c:v>Dec</c:v>
                </c:pt>
                <c:pt idx="11">
                  <c:v>Oct</c:v>
                </c:pt>
              </c:strCache>
            </c:strRef>
          </c:cat>
          <c:val>
            <c:numRef>
              <c:f>'Q3.'!$H$5:$H$17</c:f>
              <c:numCache>
                <c:formatCode>"Ksh"#,##0</c:formatCode>
                <c:ptCount val="12"/>
                <c:pt idx="0">
                  <c:v>7137294</c:v>
                </c:pt>
                <c:pt idx="1">
                  <c:v>2648213</c:v>
                </c:pt>
                <c:pt idx="2">
                  <c:v>3649103</c:v>
                </c:pt>
                <c:pt idx="3">
                  <c:v>4269483</c:v>
                </c:pt>
                <c:pt idx="4">
                  <c:v>3529672</c:v>
                </c:pt>
                <c:pt idx="5">
                  <c:v>4682596</c:v>
                </c:pt>
                <c:pt idx="6">
                  <c:v>2137520</c:v>
                </c:pt>
                <c:pt idx="7">
                  <c:v>5825376</c:v>
                </c:pt>
                <c:pt idx="8">
                  <c:v>4374537</c:v>
                </c:pt>
                <c:pt idx="9">
                  <c:v>5195259</c:v>
                </c:pt>
                <c:pt idx="10">
                  <c:v>5721055</c:v>
                </c:pt>
                <c:pt idx="11">
                  <c:v>4999939</c:v>
                </c:pt>
              </c:numCache>
            </c:numRef>
          </c:val>
          <c:smooth val="0"/>
          <c:extLst>
            <c:ext xmlns:c16="http://schemas.microsoft.com/office/drawing/2014/chart" uri="{C3380CC4-5D6E-409C-BE32-E72D297353CC}">
              <c16:uniqueId val="{00000006-51D8-41B5-AA10-5B1FBE7D9B4B}"/>
            </c:ext>
          </c:extLst>
        </c:ser>
        <c:ser>
          <c:idx val="7"/>
          <c:order val="7"/>
          <c:tx>
            <c:strRef>
              <c:f>'Q3.'!$I$3:$I$4</c:f>
              <c:strCache>
                <c:ptCount val="1"/>
                <c:pt idx="0">
                  <c:v>Iphone 15</c:v>
                </c:pt>
              </c:strCache>
            </c:strRef>
          </c:tx>
          <c:spPr>
            <a:ln w="28575" cap="rnd">
              <a:solidFill>
                <a:schemeClr val="accent2">
                  <a:lumMod val="60000"/>
                </a:schemeClr>
              </a:solidFill>
              <a:round/>
            </a:ln>
            <a:effectLst/>
          </c:spPr>
          <c:marker>
            <c:symbol val="none"/>
          </c:marker>
          <c:cat>
            <c:strRef>
              <c:f>'Q3.'!$A$5:$A$17</c:f>
              <c:strCache>
                <c:ptCount val="12"/>
                <c:pt idx="0">
                  <c:v>Aug</c:v>
                </c:pt>
                <c:pt idx="1">
                  <c:v>Jul</c:v>
                </c:pt>
                <c:pt idx="2">
                  <c:v>Jan</c:v>
                </c:pt>
                <c:pt idx="3">
                  <c:v>May</c:v>
                </c:pt>
                <c:pt idx="4">
                  <c:v>Jun</c:v>
                </c:pt>
                <c:pt idx="5">
                  <c:v>Mar</c:v>
                </c:pt>
                <c:pt idx="6">
                  <c:v>Nov</c:v>
                </c:pt>
                <c:pt idx="7">
                  <c:v>Sep</c:v>
                </c:pt>
                <c:pt idx="8">
                  <c:v>Apr</c:v>
                </c:pt>
                <c:pt idx="9">
                  <c:v>Feb</c:v>
                </c:pt>
                <c:pt idx="10">
                  <c:v>Dec</c:v>
                </c:pt>
                <c:pt idx="11">
                  <c:v>Oct</c:v>
                </c:pt>
              </c:strCache>
            </c:strRef>
          </c:cat>
          <c:val>
            <c:numRef>
              <c:f>'Q3.'!$I$5:$I$17</c:f>
              <c:numCache>
                <c:formatCode>"Ksh"#,##0</c:formatCode>
                <c:ptCount val="12"/>
                <c:pt idx="0">
                  <c:v>4379852</c:v>
                </c:pt>
                <c:pt idx="1">
                  <c:v>6588737</c:v>
                </c:pt>
                <c:pt idx="2">
                  <c:v>4024021</c:v>
                </c:pt>
                <c:pt idx="3">
                  <c:v>7747639</c:v>
                </c:pt>
                <c:pt idx="4">
                  <c:v>5417733</c:v>
                </c:pt>
                <c:pt idx="5">
                  <c:v>4025026</c:v>
                </c:pt>
                <c:pt idx="6">
                  <c:v>4739423</c:v>
                </c:pt>
                <c:pt idx="7">
                  <c:v>1825936</c:v>
                </c:pt>
                <c:pt idx="8">
                  <c:v>7124179</c:v>
                </c:pt>
                <c:pt idx="9">
                  <c:v>3417621</c:v>
                </c:pt>
                <c:pt idx="10">
                  <c:v>4414663</c:v>
                </c:pt>
                <c:pt idx="11">
                  <c:v>4090142</c:v>
                </c:pt>
              </c:numCache>
            </c:numRef>
          </c:val>
          <c:smooth val="0"/>
          <c:extLst>
            <c:ext xmlns:c16="http://schemas.microsoft.com/office/drawing/2014/chart" uri="{C3380CC4-5D6E-409C-BE32-E72D297353CC}">
              <c16:uniqueId val="{00000007-51D8-41B5-AA10-5B1FBE7D9B4B}"/>
            </c:ext>
          </c:extLst>
        </c:ser>
        <c:ser>
          <c:idx val="8"/>
          <c:order val="8"/>
          <c:tx>
            <c:strRef>
              <c:f>'Q3.'!$J$3:$J$4</c:f>
              <c:strCache>
                <c:ptCount val="1"/>
                <c:pt idx="0">
                  <c:v>Jbl Tune 500</c:v>
                </c:pt>
              </c:strCache>
            </c:strRef>
          </c:tx>
          <c:spPr>
            <a:ln w="28575" cap="rnd">
              <a:solidFill>
                <a:schemeClr val="accent3">
                  <a:lumMod val="60000"/>
                </a:schemeClr>
              </a:solidFill>
              <a:round/>
            </a:ln>
            <a:effectLst/>
          </c:spPr>
          <c:marker>
            <c:symbol val="none"/>
          </c:marker>
          <c:cat>
            <c:strRef>
              <c:f>'Q3.'!$A$5:$A$17</c:f>
              <c:strCache>
                <c:ptCount val="12"/>
                <c:pt idx="0">
                  <c:v>Aug</c:v>
                </c:pt>
                <c:pt idx="1">
                  <c:v>Jul</c:v>
                </c:pt>
                <c:pt idx="2">
                  <c:v>Jan</c:v>
                </c:pt>
                <c:pt idx="3">
                  <c:v>May</c:v>
                </c:pt>
                <c:pt idx="4">
                  <c:v>Jun</c:v>
                </c:pt>
                <c:pt idx="5">
                  <c:v>Mar</c:v>
                </c:pt>
                <c:pt idx="6">
                  <c:v>Nov</c:v>
                </c:pt>
                <c:pt idx="7">
                  <c:v>Sep</c:v>
                </c:pt>
                <c:pt idx="8">
                  <c:v>Apr</c:v>
                </c:pt>
                <c:pt idx="9">
                  <c:v>Feb</c:v>
                </c:pt>
                <c:pt idx="10">
                  <c:v>Dec</c:v>
                </c:pt>
                <c:pt idx="11">
                  <c:v>Oct</c:v>
                </c:pt>
              </c:strCache>
            </c:strRef>
          </c:cat>
          <c:val>
            <c:numRef>
              <c:f>'Q3.'!$J$5:$J$17</c:f>
              <c:numCache>
                <c:formatCode>"Ksh"#,##0</c:formatCode>
                <c:ptCount val="12"/>
                <c:pt idx="0">
                  <c:v>829539</c:v>
                </c:pt>
                <c:pt idx="1">
                  <c:v>439335</c:v>
                </c:pt>
                <c:pt idx="2">
                  <c:v>663899</c:v>
                </c:pt>
                <c:pt idx="3">
                  <c:v>474846</c:v>
                </c:pt>
                <c:pt idx="4">
                  <c:v>707917</c:v>
                </c:pt>
                <c:pt idx="5">
                  <c:v>400346</c:v>
                </c:pt>
                <c:pt idx="6">
                  <c:v>635403</c:v>
                </c:pt>
                <c:pt idx="7">
                  <c:v>492213</c:v>
                </c:pt>
                <c:pt idx="8">
                  <c:v>502720</c:v>
                </c:pt>
                <c:pt idx="9">
                  <c:v>603555</c:v>
                </c:pt>
                <c:pt idx="10">
                  <c:v>844459</c:v>
                </c:pt>
                <c:pt idx="11">
                  <c:v>881372</c:v>
                </c:pt>
              </c:numCache>
            </c:numRef>
          </c:val>
          <c:smooth val="0"/>
          <c:extLst>
            <c:ext xmlns:c16="http://schemas.microsoft.com/office/drawing/2014/chart" uri="{C3380CC4-5D6E-409C-BE32-E72D297353CC}">
              <c16:uniqueId val="{00000008-51D8-41B5-AA10-5B1FBE7D9B4B}"/>
            </c:ext>
          </c:extLst>
        </c:ser>
        <c:ser>
          <c:idx val="9"/>
          <c:order val="9"/>
          <c:tx>
            <c:strRef>
              <c:f>'Q3.'!$K$3:$K$4</c:f>
              <c:strCache>
                <c:ptCount val="1"/>
                <c:pt idx="0">
                  <c:v>Lenovo Ideapad 3</c:v>
                </c:pt>
              </c:strCache>
            </c:strRef>
          </c:tx>
          <c:spPr>
            <a:ln w="28575" cap="rnd">
              <a:solidFill>
                <a:schemeClr val="accent4">
                  <a:lumMod val="60000"/>
                </a:schemeClr>
              </a:solidFill>
              <a:round/>
            </a:ln>
            <a:effectLst/>
          </c:spPr>
          <c:marker>
            <c:symbol val="none"/>
          </c:marker>
          <c:cat>
            <c:strRef>
              <c:f>'Q3.'!$A$5:$A$17</c:f>
              <c:strCache>
                <c:ptCount val="12"/>
                <c:pt idx="0">
                  <c:v>Aug</c:v>
                </c:pt>
                <c:pt idx="1">
                  <c:v>Jul</c:v>
                </c:pt>
                <c:pt idx="2">
                  <c:v>Jan</c:v>
                </c:pt>
                <c:pt idx="3">
                  <c:v>May</c:v>
                </c:pt>
                <c:pt idx="4">
                  <c:v>Jun</c:v>
                </c:pt>
                <c:pt idx="5">
                  <c:v>Mar</c:v>
                </c:pt>
                <c:pt idx="6">
                  <c:v>Nov</c:v>
                </c:pt>
                <c:pt idx="7">
                  <c:v>Sep</c:v>
                </c:pt>
                <c:pt idx="8">
                  <c:v>Apr</c:v>
                </c:pt>
                <c:pt idx="9">
                  <c:v>Feb</c:v>
                </c:pt>
                <c:pt idx="10">
                  <c:v>Dec</c:v>
                </c:pt>
                <c:pt idx="11">
                  <c:v>Oct</c:v>
                </c:pt>
              </c:strCache>
            </c:strRef>
          </c:cat>
          <c:val>
            <c:numRef>
              <c:f>'Q3.'!$K$5:$K$17</c:f>
              <c:numCache>
                <c:formatCode>"Ksh"#,##0</c:formatCode>
                <c:ptCount val="12"/>
                <c:pt idx="0">
                  <c:v>5120843</c:v>
                </c:pt>
                <c:pt idx="1">
                  <c:v>4722607</c:v>
                </c:pt>
                <c:pt idx="2">
                  <c:v>6059576</c:v>
                </c:pt>
                <c:pt idx="3">
                  <c:v>5070508</c:v>
                </c:pt>
                <c:pt idx="4">
                  <c:v>4519462</c:v>
                </c:pt>
                <c:pt idx="5">
                  <c:v>4794100</c:v>
                </c:pt>
                <c:pt idx="6">
                  <c:v>4305983</c:v>
                </c:pt>
                <c:pt idx="7">
                  <c:v>4552823</c:v>
                </c:pt>
                <c:pt idx="8">
                  <c:v>2630214</c:v>
                </c:pt>
                <c:pt idx="9">
                  <c:v>2528898</c:v>
                </c:pt>
                <c:pt idx="10">
                  <c:v>5730010</c:v>
                </c:pt>
                <c:pt idx="11">
                  <c:v>3697404</c:v>
                </c:pt>
              </c:numCache>
            </c:numRef>
          </c:val>
          <c:smooth val="0"/>
          <c:extLst>
            <c:ext xmlns:c16="http://schemas.microsoft.com/office/drawing/2014/chart" uri="{C3380CC4-5D6E-409C-BE32-E72D297353CC}">
              <c16:uniqueId val="{00000009-51D8-41B5-AA10-5B1FBE7D9B4B}"/>
            </c:ext>
          </c:extLst>
        </c:ser>
        <c:ser>
          <c:idx val="10"/>
          <c:order val="10"/>
          <c:tx>
            <c:strRef>
              <c:f>'Q3.'!$L$3:$L$4</c:f>
              <c:strCache>
                <c:ptCount val="1"/>
                <c:pt idx="0">
                  <c:v>Lg 55 Oled</c:v>
                </c:pt>
              </c:strCache>
            </c:strRef>
          </c:tx>
          <c:spPr>
            <a:ln w="28575" cap="rnd">
              <a:solidFill>
                <a:schemeClr val="accent5">
                  <a:lumMod val="60000"/>
                </a:schemeClr>
              </a:solidFill>
              <a:round/>
            </a:ln>
            <a:effectLst/>
          </c:spPr>
          <c:marker>
            <c:symbol val="none"/>
          </c:marker>
          <c:cat>
            <c:strRef>
              <c:f>'Q3.'!$A$5:$A$17</c:f>
              <c:strCache>
                <c:ptCount val="12"/>
                <c:pt idx="0">
                  <c:v>Aug</c:v>
                </c:pt>
                <c:pt idx="1">
                  <c:v>Jul</c:v>
                </c:pt>
                <c:pt idx="2">
                  <c:v>Jan</c:v>
                </c:pt>
                <c:pt idx="3">
                  <c:v>May</c:v>
                </c:pt>
                <c:pt idx="4">
                  <c:v>Jun</c:v>
                </c:pt>
                <c:pt idx="5">
                  <c:v>Mar</c:v>
                </c:pt>
                <c:pt idx="6">
                  <c:v>Nov</c:v>
                </c:pt>
                <c:pt idx="7">
                  <c:v>Sep</c:v>
                </c:pt>
                <c:pt idx="8">
                  <c:v>Apr</c:v>
                </c:pt>
                <c:pt idx="9">
                  <c:v>Feb</c:v>
                </c:pt>
                <c:pt idx="10">
                  <c:v>Dec</c:v>
                </c:pt>
                <c:pt idx="11">
                  <c:v>Oct</c:v>
                </c:pt>
              </c:strCache>
            </c:strRef>
          </c:cat>
          <c:val>
            <c:numRef>
              <c:f>'Q3.'!$L$5:$L$17</c:f>
              <c:numCache>
                <c:formatCode>"Ksh"#,##0</c:formatCode>
                <c:ptCount val="12"/>
                <c:pt idx="0">
                  <c:v>5482621</c:v>
                </c:pt>
                <c:pt idx="1">
                  <c:v>7354787</c:v>
                </c:pt>
                <c:pt idx="2">
                  <c:v>3034614</c:v>
                </c:pt>
                <c:pt idx="3">
                  <c:v>3033975</c:v>
                </c:pt>
                <c:pt idx="4">
                  <c:v>6380034</c:v>
                </c:pt>
                <c:pt idx="5">
                  <c:v>4053623</c:v>
                </c:pt>
                <c:pt idx="6">
                  <c:v>5468653</c:v>
                </c:pt>
                <c:pt idx="7">
                  <c:v>3879238</c:v>
                </c:pt>
                <c:pt idx="8">
                  <c:v>2327438</c:v>
                </c:pt>
                <c:pt idx="9">
                  <c:v>3694381</c:v>
                </c:pt>
                <c:pt idx="10">
                  <c:v>3260379</c:v>
                </c:pt>
                <c:pt idx="11">
                  <c:v>4440298</c:v>
                </c:pt>
              </c:numCache>
            </c:numRef>
          </c:val>
          <c:smooth val="0"/>
          <c:extLst>
            <c:ext xmlns:c16="http://schemas.microsoft.com/office/drawing/2014/chart" uri="{C3380CC4-5D6E-409C-BE32-E72D297353CC}">
              <c16:uniqueId val="{0000000A-51D8-41B5-AA10-5B1FBE7D9B4B}"/>
            </c:ext>
          </c:extLst>
        </c:ser>
        <c:ser>
          <c:idx val="11"/>
          <c:order val="11"/>
          <c:tx>
            <c:strRef>
              <c:f>'Q3.'!$M$3:$M$4</c:f>
              <c:strCache>
                <c:ptCount val="1"/>
                <c:pt idx="0">
                  <c:v>Macbook Air M2</c:v>
                </c:pt>
              </c:strCache>
            </c:strRef>
          </c:tx>
          <c:spPr>
            <a:ln w="28575" cap="rnd">
              <a:solidFill>
                <a:schemeClr val="accent6">
                  <a:lumMod val="60000"/>
                </a:schemeClr>
              </a:solidFill>
              <a:round/>
            </a:ln>
            <a:effectLst/>
          </c:spPr>
          <c:marker>
            <c:symbol val="none"/>
          </c:marker>
          <c:cat>
            <c:strRef>
              <c:f>'Q3.'!$A$5:$A$17</c:f>
              <c:strCache>
                <c:ptCount val="12"/>
                <c:pt idx="0">
                  <c:v>Aug</c:v>
                </c:pt>
                <c:pt idx="1">
                  <c:v>Jul</c:v>
                </c:pt>
                <c:pt idx="2">
                  <c:v>Jan</c:v>
                </c:pt>
                <c:pt idx="3">
                  <c:v>May</c:v>
                </c:pt>
                <c:pt idx="4">
                  <c:v>Jun</c:v>
                </c:pt>
                <c:pt idx="5">
                  <c:v>Mar</c:v>
                </c:pt>
                <c:pt idx="6">
                  <c:v>Nov</c:v>
                </c:pt>
                <c:pt idx="7">
                  <c:v>Sep</c:v>
                </c:pt>
                <c:pt idx="8">
                  <c:v>Apr</c:v>
                </c:pt>
                <c:pt idx="9">
                  <c:v>Feb</c:v>
                </c:pt>
                <c:pt idx="10">
                  <c:v>Dec</c:v>
                </c:pt>
                <c:pt idx="11">
                  <c:v>Oct</c:v>
                </c:pt>
              </c:strCache>
            </c:strRef>
          </c:cat>
          <c:val>
            <c:numRef>
              <c:f>'Q3.'!$M$5:$M$17</c:f>
              <c:numCache>
                <c:formatCode>"Ksh"#,##0</c:formatCode>
                <c:ptCount val="12"/>
                <c:pt idx="0">
                  <c:v>5800432</c:v>
                </c:pt>
                <c:pt idx="1">
                  <c:v>3320026</c:v>
                </c:pt>
                <c:pt idx="2">
                  <c:v>2908281</c:v>
                </c:pt>
                <c:pt idx="3">
                  <c:v>5278841</c:v>
                </c:pt>
                <c:pt idx="4">
                  <c:v>3162506</c:v>
                </c:pt>
                <c:pt idx="5">
                  <c:v>4582325</c:v>
                </c:pt>
                <c:pt idx="6">
                  <c:v>5241039</c:v>
                </c:pt>
                <c:pt idx="7">
                  <c:v>4113078</c:v>
                </c:pt>
                <c:pt idx="8">
                  <c:v>3751893</c:v>
                </c:pt>
                <c:pt idx="9">
                  <c:v>4558102</c:v>
                </c:pt>
                <c:pt idx="10">
                  <c:v>3829027</c:v>
                </c:pt>
                <c:pt idx="11">
                  <c:v>2613912</c:v>
                </c:pt>
              </c:numCache>
            </c:numRef>
          </c:val>
          <c:smooth val="0"/>
          <c:extLst>
            <c:ext xmlns:c16="http://schemas.microsoft.com/office/drawing/2014/chart" uri="{C3380CC4-5D6E-409C-BE32-E72D297353CC}">
              <c16:uniqueId val="{0000000B-51D8-41B5-AA10-5B1FBE7D9B4B}"/>
            </c:ext>
          </c:extLst>
        </c:ser>
        <c:ser>
          <c:idx val="12"/>
          <c:order val="12"/>
          <c:tx>
            <c:strRef>
              <c:f>'Q3.'!$N$3:$N$4</c:f>
              <c:strCache>
                <c:ptCount val="1"/>
                <c:pt idx="0">
                  <c:v>Nikon D3500</c:v>
                </c:pt>
              </c:strCache>
            </c:strRef>
          </c:tx>
          <c:spPr>
            <a:ln w="28575" cap="rnd">
              <a:solidFill>
                <a:schemeClr val="accent1">
                  <a:lumMod val="80000"/>
                  <a:lumOff val="20000"/>
                </a:schemeClr>
              </a:solidFill>
              <a:round/>
            </a:ln>
            <a:effectLst/>
          </c:spPr>
          <c:marker>
            <c:symbol val="none"/>
          </c:marker>
          <c:cat>
            <c:strRef>
              <c:f>'Q3.'!$A$5:$A$17</c:f>
              <c:strCache>
                <c:ptCount val="12"/>
                <c:pt idx="0">
                  <c:v>Aug</c:v>
                </c:pt>
                <c:pt idx="1">
                  <c:v>Jul</c:v>
                </c:pt>
                <c:pt idx="2">
                  <c:v>Jan</c:v>
                </c:pt>
                <c:pt idx="3">
                  <c:v>May</c:v>
                </c:pt>
                <c:pt idx="4">
                  <c:v>Jun</c:v>
                </c:pt>
                <c:pt idx="5">
                  <c:v>Mar</c:v>
                </c:pt>
                <c:pt idx="6">
                  <c:v>Nov</c:v>
                </c:pt>
                <c:pt idx="7">
                  <c:v>Sep</c:v>
                </c:pt>
                <c:pt idx="8">
                  <c:v>Apr</c:v>
                </c:pt>
                <c:pt idx="9">
                  <c:v>Feb</c:v>
                </c:pt>
                <c:pt idx="10">
                  <c:v>Dec</c:v>
                </c:pt>
                <c:pt idx="11">
                  <c:v>Oct</c:v>
                </c:pt>
              </c:strCache>
            </c:strRef>
          </c:cat>
          <c:val>
            <c:numRef>
              <c:f>'Q3.'!$N$5:$N$17</c:f>
              <c:numCache>
                <c:formatCode>"Ksh"#,##0</c:formatCode>
                <c:ptCount val="12"/>
                <c:pt idx="0">
                  <c:v>5670230</c:v>
                </c:pt>
                <c:pt idx="1">
                  <c:v>3127383</c:v>
                </c:pt>
                <c:pt idx="2">
                  <c:v>4180069</c:v>
                </c:pt>
                <c:pt idx="3">
                  <c:v>5759459</c:v>
                </c:pt>
                <c:pt idx="4">
                  <c:v>4492828</c:v>
                </c:pt>
                <c:pt idx="5">
                  <c:v>5128247</c:v>
                </c:pt>
                <c:pt idx="6">
                  <c:v>2991347</c:v>
                </c:pt>
                <c:pt idx="7">
                  <c:v>3664592</c:v>
                </c:pt>
                <c:pt idx="8">
                  <c:v>3773324</c:v>
                </c:pt>
                <c:pt idx="9">
                  <c:v>3583164</c:v>
                </c:pt>
                <c:pt idx="10">
                  <c:v>3092434</c:v>
                </c:pt>
                <c:pt idx="11">
                  <c:v>3234765</c:v>
                </c:pt>
              </c:numCache>
            </c:numRef>
          </c:val>
          <c:smooth val="0"/>
          <c:extLst>
            <c:ext xmlns:c16="http://schemas.microsoft.com/office/drawing/2014/chart" uri="{C3380CC4-5D6E-409C-BE32-E72D297353CC}">
              <c16:uniqueId val="{0000000C-51D8-41B5-AA10-5B1FBE7D9B4B}"/>
            </c:ext>
          </c:extLst>
        </c:ser>
        <c:ser>
          <c:idx val="13"/>
          <c:order val="13"/>
          <c:tx>
            <c:strRef>
              <c:f>'Q3.'!$O$3:$O$4</c:f>
              <c:strCache>
                <c:ptCount val="1"/>
                <c:pt idx="0">
                  <c:v>Samsung 50 Led</c:v>
                </c:pt>
              </c:strCache>
            </c:strRef>
          </c:tx>
          <c:spPr>
            <a:ln w="28575" cap="rnd">
              <a:solidFill>
                <a:schemeClr val="accent2">
                  <a:lumMod val="80000"/>
                  <a:lumOff val="20000"/>
                </a:schemeClr>
              </a:solidFill>
              <a:round/>
            </a:ln>
            <a:effectLst/>
          </c:spPr>
          <c:marker>
            <c:symbol val="none"/>
          </c:marker>
          <c:cat>
            <c:strRef>
              <c:f>'Q3.'!$A$5:$A$17</c:f>
              <c:strCache>
                <c:ptCount val="12"/>
                <c:pt idx="0">
                  <c:v>Aug</c:v>
                </c:pt>
                <c:pt idx="1">
                  <c:v>Jul</c:v>
                </c:pt>
                <c:pt idx="2">
                  <c:v>Jan</c:v>
                </c:pt>
                <c:pt idx="3">
                  <c:v>May</c:v>
                </c:pt>
                <c:pt idx="4">
                  <c:v>Jun</c:v>
                </c:pt>
                <c:pt idx="5">
                  <c:v>Mar</c:v>
                </c:pt>
                <c:pt idx="6">
                  <c:v>Nov</c:v>
                </c:pt>
                <c:pt idx="7">
                  <c:v>Sep</c:v>
                </c:pt>
                <c:pt idx="8">
                  <c:v>Apr</c:v>
                </c:pt>
                <c:pt idx="9">
                  <c:v>Feb</c:v>
                </c:pt>
                <c:pt idx="10">
                  <c:v>Dec</c:v>
                </c:pt>
                <c:pt idx="11">
                  <c:v>Oct</c:v>
                </c:pt>
              </c:strCache>
            </c:strRef>
          </c:cat>
          <c:val>
            <c:numRef>
              <c:f>'Q3.'!$O$5:$O$17</c:f>
              <c:numCache>
                <c:formatCode>"Ksh"#,##0</c:formatCode>
                <c:ptCount val="12"/>
                <c:pt idx="0">
                  <c:v>4865411</c:v>
                </c:pt>
                <c:pt idx="1">
                  <c:v>7730070</c:v>
                </c:pt>
                <c:pt idx="2">
                  <c:v>6189228</c:v>
                </c:pt>
                <c:pt idx="3">
                  <c:v>6733793</c:v>
                </c:pt>
                <c:pt idx="4">
                  <c:v>3148497</c:v>
                </c:pt>
                <c:pt idx="5">
                  <c:v>4095709</c:v>
                </c:pt>
                <c:pt idx="6">
                  <c:v>4102471</c:v>
                </c:pt>
                <c:pt idx="7">
                  <c:v>4695629</c:v>
                </c:pt>
                <c:pt idx="8">
                  <c:v>1892397</c:v>
                </c:pt>
                <c:pt idx="9">
                  <c:v>3407973</c:v>
                </c:pt>
                <c:pt idx="10">
                  <c:v>4625823</c:v>
                </c:pt>
                <c:pt idx="11">
                  <c:v>5398378</c:v>
                </c:pt>
              </c:numCache>
            </c:numRef>
          </c:val>
          <c:smooth val="0"/>
          <c:extLst>
            <c:ext xmlns:c16="http://schemas.microsoft.com/office/drawing/2014/chart" uri="{C3380CC4-5D6E-409C-BE32-E72D297353CC}">
              <c16:uniqueId val="{0000000D-51D8-41B5-AA10-5B1FBE7D9B4B}"/>
            </c:ext>
          </c:extLst>
        </c:ser>
        <c:ser>
          <c:idx val="14"/>
          <c:order val="14"/>
          <c:tx>
            <c:strRef>
              <c:f>'Q3.'!$P$3:$P$4</c:f>
              <c:strCache>
                <c:ptCount val="1"/>
                <c:pt idx="0">
                  <c:v>Samsung Galaxy S23</c:v>
                </c:pt>
              </c:strCache>
            </c:strRef>
          </c:tx>
          <c:spPr>
            <a:ln w="28575" cap="rnd">
              <a:solidFill>
                <a:schemeClr val="accent3">
                  <a:lumMod val="80000"/>
                  <a:lumOff val="20000"/>
                </a:schemeClr>
              </a:solidFill>
              <a:round/>
            </a:ln>
            <a:effectLst/>
          </c:spPr>
          <c:marker>
            <c:symbol val="none"/>
          </c:marker>
          <c:cat>
            <c:strRef>
              <c:f>'Q3.'!$A$5:$A$17</c:f>
              <c:strCache>
                <c:ptCount val="12"/>
                <c:pt idx="0">
                  <c:v>Aug</c:v>
                </c:pt>
                <c:pt idx="1">
                  <c:v>Jul</c:v>
                </c:pt>
                <c:pt idx="2">
                  <c:v>Jan</c:v>
                </c:pt>
                <c:pt idx="3">
                  <c:v>May</c:v>
                </c:pt>
                <c:pt idx="4">
                  <c:v>Jun</c:v>
                </c:pt>
                <c:pt idx="5">
                  <c:v>Mar</c:v>
                </c:pt>
                <c:pt idx="6">
                  <c:v>Nov</c:v>
                </c:pt>
                <c:pt idx="7">
                  <c:v>Sep</c:v>
                </c:pt>
                <c:pt idx="8">
                  <c:v>Apr</c:v>
                </c:pt>
                <c:pt idx="9">
                  <c:v>Feb</c:v>
                </c:pt>
                <c:pt idx="10">
                  <c:v>Dec</c:v>
                </c:pt>
                <c:pt idx="11">
                  <c:v>Oct</c:v>
                </c:pt>
              </c:strCache>
            </c:strRef>
          </c:cat>
          <c:val>
            <c:numRef>
              <c:f>'Q3.'!$P$5:$P$17</c:f>
              <c:numCache>
                <c:formatCode>"Ksh"#,##0</c:formatCode>
                <c:ptCount val="12"/>
                <c:pt idx="0">
                  <c:v>4085159</c:v>
                </c:pt>
                <c:pt idx="1">
                  <c:v>4471458</c:v>
                </c:pt>
                <c:pt idx="2">
                  <c:v>3496281</c:v>
                </c:pt>
                <c:pt idx="3">
                  <c:v>2127553</c:v>
                </c:pt>
                <c:pt idx="4">
                  <c:v>3397558</c:v>
                </c:pt>
                <c:pt idx="5">
                  <c:v>3731939</c:v>
                </c:pt>
                <c:pt idx="6">
                  <c:v>4937363</c:v>
                </c:pt>
                <c:pt idx="7">
                  <c:v>4613478</c:v>
                </c:pt>
                <c:pt idx="8">
                  <c:v>2922609</c:v>
                </c:pt>
                <c:pt idx="9">
                  <c:v>1895766</c:v>
                </c:pt>
                <c:pt idx="10">
                  <c:v>5097933</c:v>
                </c:pt>
                <c:pt idx="11">
                  <c:v>3534816</c:v>
                </c:pt>
              </c:numCache>
            </c:numRef>
          </c:val>
          <c:smooth val="0"/>
          <c:extLst>
            <c:ext xmlns:c16="http://schemas.microsoft.com/office/drawing/2014/chart" uri="{C3380CC4-5D6E-409C-BE32-E72D297353CC}">
              <c16:uniqueId val="{0000000E-51D8-41B5-AA10-5B1FBE7D9B4B}"/>
            </c:ext>
          </c:extLst>
        </c:ser>
        <c:ser>
          <c:idx val="15"/>
          <c:order val="15"/>
          <c:tx>
            <c:strRef>
              <c:f>'Q3.'!$Q$3:$Q$4</c:f>
              <c:strCache>
                <c:ptCount val="1"/>
                <c:pt idx="0">
                  <c:v>Sony Alpha 7C</c:v>
                </c:pt>
              </c:strCache>
            </c:strRef>
          </c:tx>
          <c:spPr>
            <a:ln w="28575" cap="rnd">
              <a:solidFill>
                <a:schemeClr val="accent4">
                  <a:lumMod val="80000"/>
                  <a:lumOff val="20000"/>
                </a:schemeClr>
              </a:solidFill>
              <a:round/>
            </a:ln>
            <a:effectLst/>
          </c:spPr>
          <c:marker>
            <c:symbol val="none"/>
          </c:marker>
          <c:cat>
            <c:strRef>
              <c:f>'Q3.'!$A$5:$A$17</c:f>
              <c:strCache>
                <c:ptCount val="12"/>
                <c:pt idx="0">
                  <c:v>Aug</c:v>
                </c:pt>
                <c:pt idx="1">
                  <c:v>Jul</c:v>
                </c:pt>
                <c:pt idx="2">
                  <c:v>Jan</c:v>
                </c:pt>
                <c:pt idx="3">
                  <c:v>May</c:v>
                </c:pt>
                <c:pt idx="4">
                  <c:v>Jun</c:v>
                </c:pt>
                <c:pt idx="5">
                  <c:v>Mar</c:v>
                </c:pt>
                <c:pt idx="6">
                  <c:v>Nov</c:v>
                </c:pt>
                <c:pt idx="7">
                  <c:v>Sep</c:v>
                </c:pt>
                <c:pt idx="8">
                  <c:v>Apr</c:v>
                </c:pt>
                <c:pt idx="9">
                  <c:v>Feb</c:v>
                </c:pt>
                <c:pt idx="10">
                  <c:v>Dec</c:v>
                </c:pt>
                <c:pt idx="11">
                  <c:v>Oct</c:v>
                </c:pt>
              </c:strCache>
            </c:strRef>
          </c:cat>
          <c:val>
            <c:numRef>
              <c:f>'Q3.'!$Q$5:$Q$17</c:f>
              <c:numCache>
                <c:formatCode>"Ksh"#,##0</c:formatCode>
                <c:ptCount val="12"/>
                <c:pt idx="0">
                  <c:v>3400900</c:v>
                </c:pt>
                <c:pt idx="1">
                  <c:v>2187648</c:v>
                </c:pt>
                <c:pt idx="2">
                  <c:v>4770432</c:v>
                </c:pt>
                <c:pt idx="3">
                  <c:v>2095683</c:v>
                </c:pt>
                <c:pt idx="4">
                  <c:v>2320174</c:v>
                </c:pt>
                <c:pt idx="5">
                  <c:v>3675907</c:v>
                </c:pt>
                <c:pt idx="6">
                  <c:v>4623147</c:v>
                </c:pt>
                <c:pt idx="7">
                  <c:v>4317940</c:v>
                </c:pt>
                <c:pt idx="8">
                  <c:v>5842090</c:v>
                </c:pt>
                <c:pt idx="9">
                  <c:v>3179545</c:v>
                </c:pt>
                <c:pt idx="10">
                  <c:v>3459883</c:v>
                </c:pt>
                <c:pt idx="11">
                  <c:v>4828890</c:v>
                </c:pt>
              </c:numCache>
            </c:numRef>
          </c:val>
          <c:smooth val="0"/>
          <c:extLst>
            <c:ext xmlns:c16="http://schemas.microsoft.com/office/drawing/2014/chart" uri="{C3380CC4-5D6E-409C-BE32-E72D297353CC}">
              <c16:uniqueId val="{0000000F-51D8-41B5-AA10-5B1FBE7D9B4B}"/>
            </c:ext>
          </c:extLst>
        </c:ser>
        <c:ser>
          <c:idx val="16"/>
          <c:order val="16"/>
          <c:tx>
            <c:strRef>
              <c:f>'Q3.'!$R$3:$R$4</c:f>
              <c:strCache>
                <c:ptCount val="1"/>
                <c:pt idx="0">
                  <c:v>Sony Bravia 60</c:v>
                </c:pt>
              </c:strCache>
            </c:strRef>
          </c:tx>
          <c:spPr>
            <a:ln w="28575" cap="rnd">
              <a:solidFill>
                <a:schemeClr val="accent5">
                  <a:lumMod val="80000"/>
                  <a:lumOff val="20000"/>
                </a:schemeClr>
              </a:solidFill>
              <a:round/>
            </a:ln>
            <a:effectLst/>
          </c:spPr>
          <c:marker>
            <c:symbol val="none"/>
          </c:marker>
          <c:cat>
            <c:strRef>
              <c:f>'Q3.'!$A$5:$A$17</c:f>
              <c:strCache>
                <c:ptCount val="12"/>
                <c:pt idx="0">
                  <c:v>Aug</c:v>
                </c:pt>
                <c:pt idx="1">
                  <c:v>Jul</c:v>
                </c:pt>
                <c:pt idx="2">
                  <c:v>Jan</c:v>
                </c:pt>
                <c:pt idx="3">
                  <c:v>May</c:v>
                </c:pt>
                <c:pt idx="4">
                  <c:v>Jun</c:v>
                </c:pt>
                <c:pt idx="5">
                  <c:v>Mar</c:v>
                </c:pt>
                <c:pt idx="6">
                  <c:v>Nov</c:v>
                </c:pt>
                <c:pt idx="7">
                  <c:v>Sep</c:v>
                </c:pt>
                <c:pt idx="8">
                  <c:v>Apr</c:v>
                </c:pt>
                <c:pt idx="9">
                  <c:v>Feb</c:v>
                </c:pt>
                <c:pt idx="10">
                  <c:v>Dec</c:v>
                </c:pt>
                <c:pt idx="11">
                  <c:v>Oct</c:v>
                </c:pt>
              </c:strCache>
            </c:strRef>
          </c:cat>
          <c:val>
            <c:numRef>
              <c:f>'Q3.'!$R$5:$R$17</c:f>
              <c:numCache>
                <c:formatCode>"Ksh"#,##0</c:formatCode>
                <c:ptCount val="12"/>
                <c:pt idx="0">
                  <c:v>6545180</c:v>
                </c:pt>
                <c:pt idx="1">
                  <c:v>4121148</c:v>
                </c:pt>
                <c:pt idx="2">
                  <c:v>6004639</c:v>
                </c:pt>
                <c:pt idx="3">
                  <c:v>2209521</c:v>
                </c:pt>
                <c:pt idx="4">
                  <c:v>2324146</c:v>
                </c:pt>
                <c:pt idx="5">
                  <c:v>5032240</c:v>
                </c:pt>
                <c:pt idx="6">
                  <c:v>3281339</c:v>
                </c:pt>
                <c:pt idx="7">
                  <c:v>3790840</c:v>
                </c:pt>
                <c:pt idx="8">
                  <c:v>1415548</c:v>
                </c:pt>
                <c:pt idx="9">
                  <c:v>7882297</c:v>
                </c:pt>
                <c:pt idx="10">
                  <c:v>2784608</c:v>
                </c:pt>
                <c:pt idx="11">
                  <c:v>2283388</c:v>
                </c:pt>
              </c:numCache>
            </c:numRef>
          </c:val>
          <c:smooth val="0"/>
          <c:extLst>
            <c:ext xmlns:c16="http://schemas.microsoft.com/office/drawing/2014/chart" uri="{C3380CC4-5D6E-409C-BE32-E72D297353CC}">
              <c16:uniqueId val="{00000010-51D8-41B5-AA10-5B1FBE7D9B4B}"/>
            </c:ext>
          </c:extLst>
        </c:ser>
        <c:ser>
          <c:idx val="17"/>
          <c:order val="17"/>
          <c:tx>
            <c:strRef>
              <c:f>'Q3.'!$S$3:$S$4</c:f>
              <c:strCache>
                <c:ptCount val="1"/>
                <c:pt idx="0">
                  <c:v>Sony Wh-1000Xm5</c:v>
                </c:pt>
              </c:strCache>
            </c:strRef>
          </c:tx>
          <c:spPr>
            <a:ln w="28575" cap="rnd">
              <a:solidFill>
                <a:schemeClr val="accent6">
                  <a:lumMod val="80000"/>
                  <a:lumOff val="20000"/>
                </a:schemeClr>
              </a:solidFill>
              <a:round/>
            </a:ln>
            <a:effectLst/>
          </c:spPr>
          <c:marker>
            <c:symbol val="none"/>
          </c:marker>
          <c:cat>
            <c:strRef>
              <c:f>'Q3.'!$A$5:$A$17</c:f>
              <c:strCache>
                <c:ptCount val="12"/>
                <c:pt idx="0">
                  <c:v>Aug</c:v>
                </c:pt>
                <c:pt idx="1">
                  <c:v>Jul</c:v>
                </c:pt>
                <c:pt idx="2">
                  <c:v>Jan</c:v>
                </c:pt>
                <c:pt idx="3">
                  <c:v>May</c:v>
                </c:pt>
                <c:pt idx="4">
                  <c:v>Jun</c:v>
                </c:pt>
                <c:pt idx="5">
                  <c:v>Mar</c:v>
                </c:pt>
                <c:pt idx="6">
                  <c:v>Nov</c:v>
                </c:pt>
                <c:pt idx="7">
                  <c:v>Sep</c:v>
                </c:pt>
                <c:pt idx="8">
                  <c:v>Apr</c:v>
                </c:pt>
                <c:pt idx="9">
                  <c:v>Feb</c:v>
                </c:pt>
                <c:pt idx="10">
                  <c:v>Dec</c:v>
                </c:pt>
                <c:pt idx="11">
                  <c:v>Oct</c:v>
                </c:pt>
              </c:strCache>
            </c:strRef>
          </c:cat>
          <c:val>
            <c:numRef>
              <c:f>'Q3.'!$S$5:$S$17</c:f>
              <c:numCache>
                <c:formatCode>"Ksh"#,##0</c:formatCode>
                <c:ptCount val="12"/>
                <c:pt idx="0">
                  <c:v>608474</c:v>
                </c:pt>
                <c:pt idx="1">
                  <c:v>255834</c:v>
                </c:pt>
                <c:pt idx="2">
                  <c:v>632727</c:v>
                </c:pt>
                <c:pt idx="3">
                  <c:v>895098</c:v>
                </c:pt>
                <c:pt idx="4">
                  <c:v>688662</c:v>
                </c:pt>
                <c:pt idx="5">
                  <c:v>876080</c:v>
                </c:pt>
                <c:pt idx="6">
                  <c:v>648608</c:v>
                </c:pt>
                <c:pt idx="7">
                  <c:v>610140</c:v>
                </c:pt>
                <c:pt idx="8">
                  <c:v>823579</c:v>
                </c:pt>
                <c:pt idx="9">
                  <c:v>562178</c:v>
                </c:pt>
                <c:pt idx="10">
                  <c:v>539141</c:v>
                </c:pt>
                <c:pt idx="11">
                  <c:v>769790</c:v>
                </c:pt>
              </c:numCache>
            </c:numRef>
          </c:val>
          <c:smooth val="0"/>
          <c:extLst>
            <c:ext xmlns:c16="http://schemas.microsoft.com/office/drawing/2014/chart" uri="{C3380CC4-5D6E-409C-BE32-E72D297353CC}">
              <c16:uniqueId val="{00000011-51D8-41B5-AA10-5B1FBE7D9B4B}"/>
            </c:ext>
          </c:extLst>
        </c:ser>
        <c:ser>
          <c:idx val="18"/>
          <c:order val="18"/>
          <c:tx>
            <c:strRef>
              <c:f>'Q3.'!$T$3:$T$4</c:f>
              <c:strCache>
                <c:ptCount val="1"/>
                <c:pt idx="0">
                  <c:v>Tcl 43 Led</c:v>
                </c:pt>
              </c:strCache>
            </c:strRef>
          </c:tx>
          <c:spPr>
            <a:ln w="28575" cap="rnd">
              <a:solidFill>
                <a:schemeClr val="accent1">
                  <a:lumMod val="80000"/>
                </a:schemeClr>
              </a:solidFill>
              <a:round/>
            </a:ln>
            <a:effectLst/>
          </c:spPr>
          <c:marker>
            <c:symbol val="none"/>
          </c:marker>
          <c:cat>
            <c:strRef>
              <c:f>'Q3.'!$A$5:$A$17</c:f>
              <c:strCache>
                <c:ptCount val="12"/>
                <c:pt idx="0">
                  <c:v>Aug</c:v>
                </c:pt>
                <c:pt idx="1">
                  <c:v>Jul</c:v>
                </c:pt>
                <c:pt idx="2">
                  <c:v>Jan</c:v>
                </c:pt>
                <c:pt idx="3">
                  <c:v>May</c:v>
                </c:pt>
                <c:pt idx="4">
                  <c:v>Jun</c:v>
                </c:pt>
                <c:pt idx="5">
                  <c:v>Mar</c:v>
                </c:pt>
                <c:pt idx="6">
                  <c:v>Nov</c:v>
                </c:pt>
                <c:pt idx="7">
                  <c:v>Sep</c:v>
                </c:pt>
                <c:pt idx="8">
                  <c:v>Apr</c:v>
                </c:pt>
                <c:pt idx="9">
                  <c:v>Feb</c:v>
                </c:pt>
                <c:pt idx="10">
                  <c:v>Dec</c:v>
                </c:pt>
                <c:pt idx="11">
                  <c:v>Oct</c:v>
                </c:pt>
              </c:strCache>
            </c:strRef>
          </c:cat>
          <c:val>
            <c:numRef>
              <c:f>'Q3.'!$T$5:$T$17</c:f>
              <c:numCache>
                <c:formatCode>"Ksh"#,##0</c:formatCode>
                <c:ptCount val="12"/>
                <c:pt idx="0">
                  <c:v>5404822</c:v>
                </c:pt>
                <c:pt idx="1">
                  <c:v>3652104</c:v>
                </c:pt>
                <c:pt idx="2">
                  <c:v>4612723</c:v>
                </c:pt>
                <c:pt idx="3">
                  <c:v>2314940</c:v>
                </c:pt>
                <c:pt idx="4">
                  <c:v>6348139</c:v>
                </c:pt>
                <c:pt idx="5">
                  <c:v>4880975</c:v>
                </c:pt>
                <c:pt idx="6">
                  <c:v>2716445</c:v>
                </c:pt>
                <c:pt idx="7">
                  <c:v>3050205</c:v>
                </c:pt>
                <c:pt idx="8">
                  <c:v>6540225</c:v>
                </c:pt>
                <c:pt idx="9">
                  <c:v>3205416</c:v>
                </c:pt>
                <c:pt idx="10">
                  <c:v>3623429</c:v>
                </c:pt>
                <c:pt idx="11">
                  <c:v>996999</c:v>
                </c:pt>
              </c:numCache>
            </c:numRef>
          </c:val>
          <c:smooth val="0"/>
          <c:extLst>
            <c:ext xmlns:c16="http://schemas.microsoft.com/office/drawing/2014/chart" uri="{C3380CC4-5D6E-409C-BE32-E72D297353CC}">
              <c16:uniqueId val="{00000012-51D8-41B5-AA10-5B1FBE7D9B4B}"/>
            </c:ext>
          </c:extLst>
        </c:ser>
        <c:ser>
          <c:idx val="19"/>
          <c:order val="19"/>
          <c:tx>
            <c:strRef>
              <c:f>'Q3.'!$U$3:$U$4</c:f>
              <c:strCache>
                <c:ptCount val="1"/>
                <c:pt idx="0">
                  <c:v>Tecno Spark 11</c:v>
                </c:pt>
              </c:strCache>
            </c:strRef>
          </c:tx>
          <c:spPr>
            <a:ln w="28575" cap="rnd">
              <a:solidFill>
                <a:schemeClr val="accent2">
                  <a:lumMod val="80000"/>
                </a:schemeClr>
              </a:solidFill>
              <a:round/>
            </a:ln>
            <a:effectLst/>
          </c:spPr>
          <c:marker>
            <c:symbol val="none"/>
          </c:marker>
          <c:cat>
            <c:strRef>
              <c:f>'Q3.'!$A$5:$A$17</c:f>
              <c:strCache>
                <c:ptCount val="12"/>
                <c:pt idx="0">
                  <c:v>Aug</c:v>
                </c:pt>
                <c:pt idx="1">
                  <c:v>Jul</c:v>
                </c:pt>
                <c:pt idx="2">
                  <c:v>Jan</c:v>
                </c:pt>
                <c:pt idx="3">
                  <c:v>May</c:v>
                </c:pt>
                <c:pt idx="4">
                  <c:v>Jun</c:v>
                </c:pt>
                <c:pt idx="5">
                  <c:v>Mar</c:v>
                </c:pt>
                <c:pt idx="6">
                  <c:v>Nov</c:v>
                </c:pt>
                <c:pt idx="7">
                  <c:v>Sep</c:v>
                </c:pt>
                <c:pt idx="8">
                  <c:v>Apr</c:v>
                </c:pt>
                <c:pt idx="9">
                  <c:v>Feb</c:v>
                </c:pt>
                <c:pt idx="10">
                  <c:v>Dec</c:v>
                </c:pt>
                <c:pt idx="11">
                  <c:v>Oct</c:v>
                </c:pt>
              </c:strCache>
            </c:strRef>
          </c:cat>
          <c:val>
            <c:numRef>
              <c:f>'Q3.'!$U$5:$U$17</c:f>
              <c:numCache>
                <c:formatCode>"Ksh"#,##0</c:formatCode>
                <c:ptCount val="12"/>
                <c:pt idx="0">
                  <c:v>3143727</c:v>
                </c:pt>
                <c:pt idx="1">
                  <c:v>4867363</c:v>
                </c:pt>
                <c:pt idx="2">
                  <c:v>8458611</c:v>
                </c:pt>
                <c:pt idx="3">
                  <c:v>5412731</c:v>
                </c:pt>
                <c:pt idx="4">
                  <c:v>4172430</c:v>
                </c:pt>
                <c:pt idx="5">
                  <c:v>4811350</c:v>
                </c:pt>
                <c:pt idx="6">
                  <c:v>5348718</c:v>
                </c:pt>
                <c:pt idx="7">
                  <c:v>2412645</c:v>
                </c:pt>
                <c:pt idx="8">
                  <c:v>2447310</c:v>
                </c:pt>
                <c:pt idx="9">
                  <c:v>3748117</c:v>
                </c:pt>
                <c:pt idx="10">
                  <c:v>4078562</c:v>
                </c:pt>
                <c:pt idx="11">
                  <c:v>3107928</c:v>
                </c:pt>
              </c:numCache>
            </c:numRef>
          </c:val>
          <c:smooth val="0"/>
          <c:extLst>
            <c:ext xmlns:c16="http://schemas.microsoft.com/office/drawing/2014/chart" uri="{C3380CC4-5D6E-409C-BE32-E72D297353CC}">
              <c16:uniqueId val="{00000013-51D8-41B5-AA10-5B1FBE7D9B4B}"/>
            </c:ext>
          </c:extLst>
        </c:ser>
        <c:dLbls>
          <c:showLegendKey val="0"/>
          <c:showVal val="0"/>
          <c:showCatName val="0"/>
          <c:showSerName val="0"/>
          <c:showPercent val="0"/>
          <c:showBubbleSize val="0"/>
        </c:dLbls>
        <c:smooth val="0"/>
        <c:axId val="1384666623"/>
        <c:axId val="1384669119"/>
      </c:lineChart>
      <c:catAx>
        <c:axId val="13846666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84669119"/>
        <c:crosses val="autoZero"/>
        <c:auto val="1"/>
        <c:lblAlgn val="ctr"/>
        <c:lblOffset val="100"/>
        <c:noMultiLvlLbl val="0"/>
      </c:catAx>
      <c:valAx>
        <c:axId val="1384669119"/>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84666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[Sales_Data_electronic_shop23.xlsx]Q4.!PivotTable4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How do </a:t>
            </a:r>
            <a:r>
              <a:rPr lang="en-US" sz="1400" b="1" i="0" u="none" strike="noStrike" baseline="0"/>
              <a:t>attendants perform by product category</a:t>
            </a:r>
            <a:r>
              <a:rPr lang="en-US" sz="1400" b="0" i="0" u="none" strike="noStrike" baseline="0"/>
              <a:t> (e.g., laptops vs smartphones)?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'Q4.'!$A$4</c:f>
              <c:strCache>
                <c:ptCount val="1"/>
                <c:pt idx="0">
                  <c:v>Camera</c:v>
                </c:pt>
              </c:strCache>
            </c:strRef>
          </c:tx>
          <c:spPr>
            <a:solidFill>
              <a:schemeClr val="accent6"/>
            </a:solidFill>
            <a:ln>
              <a:noFill/>
            </a:ln>
            <a:effectLst/>
          </c:spPr>
          <c:invertIfNegative val="0"/>
          <c:cat>
            <c:strRef>
              <c:f>'Q4.'!$A$4</c:f>
              <c:strCache>
                <c:ptCount val="10"/>
                <c:pt idx="0">
                  <c:v>Ali Omar</c:v>
                </c:pt>
                <c:pt idx="1">
                  <c:v>Amina Hassan</c:v>
                </c:pt>
                <c:pt idx="2">
                  <c:v>David Kiplagat</c:v>
                </c:pt>
                <c:pt idx="3">
                  <c:v>Faith Njeri</c:v>
                </c:pt>
                <c:pt idx="4">
                  <c:v>Grace Chebet</c:v>
                </c:pt>
                <c:pt idx="5">
                  <c:v>James Kiptoo</c:v>
                </c:pt>
                <c:pt idx="6">
                  <c:v>John Mwangi</c:v>
                </c:pt>
                <c:pt idx="7">
                  <c:v>Lucy Auma</c:v>
                </c:pt>
                <c:pt idx="8">
                  <c:v>Mary Wanjiku</c:v>
                </c:pt>
                <c:pt idx="9">
                  <c:v>Peter Ochieng</c:v>
                </c:pt>
              </c:strCache>
            </c:strRef>
          </c:cat>
          <c:val>
            <c:numRef>
              <c:f>'Q4.'!$A$4</c:f>
              <c:numCache>
                <c:formatCode>"Ksh"#,##0</c:formatCode>
                <c:ptCount val="10"/>
                <c:pt idx="0">
                  <c:v>23322982</c:v>
                </c:pt>
                <c:pt idx="1">
                  <c:v>24932710</c:v>
                </c:pt>
                <c:pt idx="2">
                  <c:v>21498695</c:v>
                </c:pt>
                <c:pt idx="3">
                  <c:v>20867178</c:v>
                </c:pt>
                <c:pt idx="4">
                  <c:v>15284650</c:v>
                </c:pt>
                <c:pt idx="5">
                  <c:v>26225977</c:v>
                </c:pt>
                <c:pt idx="6">
                  <c:v>23606003</c:v>
                </c:pt>
                <c:pt idx="7">
                  <c:v>20009512</c:v>
                </c:pt>
                <c:pt idx="8">
                  <c:v>17583876</c:v>
                </c:pt>
                <c:pt idx="9">
                  <c:v>15313193</c:v>
                </c:pt>
              </c:numCache>
            </c:numRef>
          </c:val>
          <c:extLst>
            <c:ext xmlns:c16="http://schemas.microsoft.com/office/drawing/2014/chart" uri="{C3380CC4-5D6E-409C-BE32-E72D297353CC}">
              <c16:uniqueId val="{00000000-7C1B-4BE7-8128-E3A6AB9CBD10}"/>
            </c:ext>
          </c:extLst>
        </c:ser>
        <c:ser>
          <c:idx val="1"/>
          <c:order val="1"/>
          <c:tx>
            <c:strRef>
              <c:f>'Q4.'!$A$4</c:f>
              <c:strCache>
                <c:ptCount val="1"/>
                <c:pt idx="0">
                  <c:v>Smartphone</c:v>
                </c:pt>
              </c:strCache>
            </c:strRef>
          </c:tx>
          <c:spPr>
            <a:solidFill>
              <a:schemeClr val="accent5"/>
            </a:solidFill>
            <a:ln>
              <a:noFill/>
            </a:ln>
            <a:effectLst/>
          </c:spPr>
          <c:invertIfNegative val="0"/>
          <c:cat>
            <c:strRef>
              <c:f>'Q4.'!$A$4</c:f>
              <c:strCache>
                <c:ptCount val="10"/>
                <c:pt idx="0">
                  <c:v>Ali Omar</c:v>
                </c:pt>
                <c:pt idx="1">
                  <c:v>Amina Hassan</c:v>
                </c:pt>
                <c:pt idx="2">
                  <c:v>David Kiplagat</c:v>
                </c:pt>
                <c:pt idx="3">
                  <c:v>Faith Njeri</c:v>
                </c:pt>
                <c:pt idx="4">
                  <c:v>Grace Chebet</c:v>
                </c:pt>
                <c:pt idx="5">
                  <c:v>James Kiptoo</c:v>
                </c:pt>
                <c:pt idx="6">
                  <c:v>John Mwangi</c:v>
                </c:pt>
                <c:pt idx="7">
                  <c:v>Lucy Auma</c:v>
                </c:pt>
                <c:pt idx="8">
                  <c:v>Mary Wanjiku</c:v>
                </c:pt>
                <c:pt idx="9">
                  <c:v>Peter Ochieng</c:v>
                </c:pt>
              </c:strCache>
            </c:strRef>
          </c:cat>
          <c:val>
            <c:numRef>
              <c:f>'Q4.'!$A$4</c:f>
              <c:numCache>
                <c:formatCode>"Ksh"#,##0</c:formatCode>
                <c:ptCount val="10"/>
                <c:pt idx="0">
                  <c:v>23061913</c:v>
                </c:pt>
                <c:pt idx="1">
                  <c:v>21516235</c:v>
                </c:pt>
                <c:pt idx="2">
                  <c:v>15716210</c:v>
                </c:pt>
                <c:pt idx="3">
                  <c:v>14688805</c:v>
                </c:pt>
                <c:pt idx="4">
                  <c:v>26329290</c:v>
                </c:pt>
                <c:pt idx="5">
                  <c:v>21435333</c:v>
                </c:pt>
                <c:pt idx="6">
                  <c:v>15456118</c:v>
                </c:pt>
                <c:pt idx="7">
                  <c:v>17224738</c:v>
                </c:pt>
                <c:pt idx="8">
                  <c:v>27269458</c:v>
                </c:pt>
                <c:pt idx="9">
                  <c:v>25588324</c:v>
                </c:pt>
              </c:numCache>
            </c:numRef>
          </c:val>
          <c:extLst>
            <c:ext xmlns:c16="http://schemas.microsoft.com/office/drawing/2014/chart" uri="{C3380CC4-5D6E-409C-BE32-E72D297353CC}">
              <c16:uniqueId val="{00000001-7C1B-4BE7-8128-E3A6AB9CBD10}"/>
            </c:ext>
          </c:extLst>
        </c:ser>
        <c:ser>
          <c:idx val="2"/>
          <c:order val="2"/>
          <c:tx>
            <c:strRef>
              <c:f>'Q4.'!$A$4</c:f>
              <c:strCache>
                <c:ptCount val="1"/>
                <c:pt idx="0">
                  <c:v>TV</c:v>
                </c:pt>
              </c:strCache>
            </c:strRef>
          </c:tx>
          <c:spPr>
            <a:solidFill>
              <a:schemeClr val="accent4"/>
            </a:solidFill>
            <a:ln>
              <a:noFill/>
            </a:ln>
            <a:effectLst/>
          </c:spPr>
          <c:invertIfNegative val="0"/>
          <c:cat>
            <c:strRef>
              <c:f>'Q4.'!$A$4</c:f>
              <c:strCache>
                <c:ptCount val="10"/>
                <c:pt idx="0">
                  <c:v>Ali Omar</c:v>
                </c:pt>
                <c:pt idx="1">
                  <c:v>Amina Hassan</c:v>
                </c:pt>
                <c:pt idx="2">
                  <c:v>David Kiplagat</c:v>
                </c:pt>
                <c:pt idx="3">
                  <c:v>Faith Njeri</c:v>
                </c:pt>
                <c:pt idx="4">
                  <c:v>Grace Chebet</c:v>
                </c:pt>
                <c:pt idx="5">
                  <c:v>James Kiptoo</c:v>
                </c:pt>
                <c:pt idx="6">
                  <c:v>John Mwangi</c:v>
                </c:pt>
                <c:pt idx="7">
                  <c:v>Lucy Auma</c:v>
                </c:pt>
                <c:pt idx="8">
                  <c:v>Mary Wanjiku</c:v>
                </c:pt>
                <c:pt idx="9">
                  <c:v>Peter Ochieng</c:v>
                </c:pt>
              </c:strCache>
            </c:strRef>
          </c:cat>
          <c:val>
            <c:numRef>
              <c:f>'Q4.'!$A$4</c:f>
              <c:numCache>
                <c:formatCode>"Ksh"#,##0</c:formatCode>
                <c:ptCount val="10"/>
                <c:pt idx="0">
                  <c:v>18519212</c:v>
                </c:pt>
                <c:pt idx="1">
                  <c:v>21612645</c:v>
                </c:pt>
                <c:pt idx="2">
                  <c:v>21376803</c:v>
                </c:pt>
                <c:pt idx="3">
                  <c:v>16573701</c:v>
                </c:pt>
                <c:pt idx="4">
                  <c:v>23518427</c:v>
                </c:pt>
                <c:pt idx="5">
                  <c:v>20554098</c:v>
                </c:pt>
                <c:pt idx="6">
                  <c:v>16996538</c:v>
                </c:pt>
                <c:pt idx="7">
                  <c:v>22986912</c:v>
                </c:pt>
                <c:pt idx="8">
                  <c:v>21113075</c:v>
                </c:pt>
                <c:pt idx="9">
                  <c:v>21065325</c:v>
                </c:pt>
              </c:numCache>
            </c:numRef>
          </c:val>
          <c:extLst>
            <c:ext xmlns:c16="http://schemas.microsoft.com/office/drawing/2014/chart" uri="{C3380CC4-5D6E-409C-BE32-E72D297353CC}">
              <c16:uniqueId val="{00000002-7C1B-4BE7-8128-E3A6AB9CBD10}"/>
            </c:ext>
          </c:extLst>
        </c:ser>
        <c:ser>
          <c:idx val="3"/>
          <c:order val="3"/>
          <c:tx>
            <c:strRef>
              <c:f>'Q4.'!$A$4</c:f>
              <c:strCache>
                <c:ptCount val="1"/>
                <c:pt idx="0">
                  <c:v>Laptop</c:v>
                </c:pt>
              </c:strCache>
            </c:strRef>
          </c:tx>
          <c:spPr>
            <a:solidFill>
              <a:schemeClr val="accent6">
                <a:lumMod val="60000"/>
              </a:schemeClr>
            </a:solidFill>
            <a:ln>
              <a:noFill/>
            </a:ln>
            <a:effectLst/>
          </c:spPr>
          <c:invertIfNegative val="0"/>
          <c:cat>
            <c:strRef>
              <c:f>'Q4.'!$A$4</c:f>
              <c:strCache>
                <c:ptCount val="10"/>
                <c:pt idx="0">
                  <c:v>Ali Omar</c:v>
                </c:pt>
                <c:pt idx="1">
                  <c:v>Amina Hassan</c:v>
                </c:pt>
                <c:pt idx="2">
                  <c:v>David Kiplagat</c:v>
                </c:pt>
                <c:pt idx="3">
                  <c:v>Faith Njeri</c:v>
                </c:pt>
                <c:pt idx="4">
                  <c:v>Grace Chebet</c:v>
                </c:pt>
                <c:pt idx="5">
                  <c:v>James Kiptoo</c:v>
                </c:pt>
                <c:pt idx="6">
                  <c:v>John Mwangi</c:v>
                </c:pt>
                <c:pt idx="7">
                  <c:v>Lucy Auma</c:v>
                </c:pt>
                <c:pt idx="8">
                  <c:v>Mary Wanjiku</c:v>
                </c:pt>
                <c:pt idx="9">
                  <c:v>Peter Ochieng</c:v>
                </c:pt>
              </c:strCache>
            </c:strRef>
          </c:cat>
          <c:val>
            <c:numRef>
              <c:f>'Q4.'!$A$4</c:f>
              <c:numCache>
                <c:formatCode>"Ksh"#,##0</c:formatCode>
                <c:ptCount val="10"/>
                <c:pt idx="0">
                  <c:v>19248288</c:v>
                </c:pt>
                <c:pt idx="1">
                  <c:v>20886582</c:v>
                </c:pt>
                <c:pt idx="2">
                  <c:v>10567295</c:v>
                </c:pt>
                <c:pt idx="3">
                  <c:v>19607682</c:v>
                </c:pt>
                <c:pt idx="4">
                  <c:v>22010308</c:v>
                </c:pt>
                <c:pt idx="5">
                  <c:v>20990206</c:v>
                </c:pt>
                <c:pt idx="6">
                  <c:v>15598063</c:v>
                </c:pt>
                <c:pt idx="7">
                  <c:v>25669200</c:v>
                </c:pt>
                <c:pt idx="8">
                  <c:v>18508907</c:v>
                </c:pt>
                <c:pt idx="9">
                  <c:v>25173644</c:v>
                </c:pt>
              </c:numCache>
            </c:numRef>
          </c:val>
          <c:extLst>
            <c:ext xmlns:c16="http://schemas.microsoft.com/office/drawing/2014/chart" uri="{C3380CC4-5D6E-409C-BE32-E72D297353CC}">
              <c16:uniqueId val="{00000003-7C1B-4BE7-8128-E3A6AB9CBD10}"/>
            </c:ext>
          </c:extLst>
        </c:ser>
        <c:ser>
          <c:idx val="4"/>
          <c:order val="4"/>
          <c:tx>
            <c:strRef>
              <c:f>'Q4.'!$A$4</c:f>
              <c:strCache>
                <c:ptCount val="1"/>
                <c:pt idx="0">
                  <c:v>Headphones</c:v>
                </c:pt>
              </c:strCache>
            </c:strRef>
          </c:tx>
          <c:spPr>
            <a:solidFill>
              <a:schemeClr val="accent5">
                <a:lumMod val="60000"/>
              </a:schemeClr>
            </a:solidFill>
            <a:ln>
              <a:noFill/>
            </a:ln>
            <a:effectLst/>
          </c:spPr>
          <c:invertIfNegative val="0"/>
          <c:cat>
            <c:strRef>
              <c:f>'Q4.'!$A$4</c:f>
              <c:strCache>
                <c:ptCount val="10"/>
                <c:pt idx="0">
                  <c:v>Ali Omar</c:v>
                </c:pt>
                <c:pt idx="1">
                  <c:v>Amina Hassan</c:v>
                </c:pt>
                <c:pt idx="2">
                  <c:v>David Kiplagat</c:v>
                </c:pt>
                <c:pt idx="3">
                  <c:v>Faith Njeri</c:v>
                </c:pt>
                <c:pt idx="4">
                  <c:v>Grace Chebet</c:v>
                </c:pt>
                <c:pt idx="5">
                  <c:v>James Kiptoo</c:v>
                </c:pt>
                <c:pt idx="6">
                  <c:v>John Mwangi</c:v>
                </c:pt>
                <c:pt idx="7">
                  <c:v>Lucy Auma</c:v>
                </c:pt>
                <c:pt idx="8">
                  <c:v>Mary Wanjiku</c:v>
                </c:pt>
                <c:pt idx="9">
                  <c:v>Peter Ochieng</c:v>
                </c:pt>
              </c:strCache>
            </c:strRef>
          </c:cat>
          <c:val>
            <c:numRef>
              <c:f>'Q4.'!$A$4</c:f>
              <c:numCache>
                <c:formatCode>"Ksh"#,##0</c:formatCode>
                <c:ptCount val="10"/>
                <c:pt idx="0">
                  <c:v>2775264</c:v>
                </c:pt>
                <c:pt idx="1">
                  <c:v>3238761</c:v>
                </c:pt>
                <c:pt idx="2">
                  <c:v>4012839</c:v>
                </c:pt>
                <c:pt idx="3">
                  <c:v>3386657</c:v>
                </c:pt>
                <c:pt idx="4">
                  <c:v>2520561</c:v>
                </c:pt>
                <c:pt idx="5">
                  <c:v>2791113</c:v>
                </c:pt>
                <c:pt idx="6">
                  <c:v>1785592</c:v>
                </c:pt>
                <c:pt idx="7">
                  <c:v>2917239</c:v>
                </c:pt>
                <c:pt idx="8">
                  <c:v>3803442</c:v>
                </c:pt>
                <c:pt idx="9">
                  <c:v>3502033</c:v>
                </c:pt>
              </c:numCache>
            </c:numRef>
          </c:val>
          <c:extLst>
            <c:ext xmlns:c16="http://schemas.microsoft.com/office/drawing/2014/chart" uri="{C3380CC4-5D6E-409C-BE32-E72D297353CC}">
              <c16:uniqueId val="{00000004-7C1B-4BE7-8128-E3A6AB9CBD10}"/>
            </c:ext>
          </c:extLst>
        </c:ser>
        <c:dLbls>
          <c:showLegendKey val="0"/>
          <c:showVal val="0"/>
          <c:showCatName val="0"/>
          <c:showSerName val="0"/>
          <c:showPercent val="0"/>
          <c:showBubbleSize val="0"/>
        </c:dLbls>
        <c:gapWidth val="182"/>
        <c:axId val="448884608"/>
        <c:axId val="448887104"/>
      </c:barChart>
      <c:catAx>
        <c:axId val="448884608"/>
        <c:scaling>
          <c:orientation val="minMax"/>
        </c:scaling>
        <c:delete val="0"/>
        <c:axPos val="b"/>
        <c:title>
          <c:tx>
            <c:strRef>
              <c:f>'Q4.'!$A$4</c:f>
              <c:strCache>
                <c:ptCount val="1"/>
                <c:pt idx="0">
                  <c:v>Attendants</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48887104"/>
        <c:crosses val="autoZero"/>
        <c:auto val="1"/>
        <c:lblAlgn val="ctr"/>
        <c:lblOffset val="100"/>
        <c:noMultiLvlLbl val="0"/>
      </c:catAx>
      <c:valAx>
        <c:axId val="4488871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r>
                  <a:rPr lang="en-US" baseline="0"/>
                  <a:t> sales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48884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[Sales_Data_electronic_shop23.xlsx]Q5.!PivotTable5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Are there shops with </a:t>
            </a:r>
            <a:r>
              <a:rPr lang="en-US" sz="1400" b="1" i="0" u="none" strike="noStrike" baseline="0"/>
              <a:t>high unsold inventory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'Q5.'!$B$3</c:f>
              <c:strCache>
                <c:ptCount val="1"/>
                <c:pt idx="0">
                  <c:v>Total</c:v>
                </c:pt>
              </c:strCache>
            </c:strRef>
          </c:tx>
          <c:spPr>
            <a:solidFill>
              <a:schemeClr val="accent1"/>
            </a:solidFill>
            <a:ln>
              <a:noFill/>
            </a:ln>
            <a:effectLst/>
          </c:spPr>
          <c:invertIfNegative val="0"/>
          <c:cat>
            <c:strRef>
              <c:f>'Q5.'!$A$4:$A$9</c:f>
              <c:strCache>
                <c:ptCount val="5"/>
                <c:pt idx="0">
                  <c:v>Rift Valley Tech</c:v>
                </c:pt>
                <c:pt idx="1">
                  <c:v>Nairobi Hub</c:v>
                </c:pt>
                <c:pt idx="2">
                  <c:v>Lakeview Store</c:v>
                </c:pt>
                <c:pt idx="3">
                  <c:v>Coast Mart</c:v>
                </c:pt>
                <c:pt idx="4">
                  <c:v>Highland Electronics</c:v>
                </c:pt>
              </c:strCache>
            </c:strRef>
          </c:cat>
          <c:val>
            <c:numRef>
              <c:f>'Q5.'!$B$4:$B$9</c:f>
              <c:numCache>
                <c:formatCode>General</c:formatCode>
                <c:ptCount val="5"/>
                <c:pt idx="0">
                  <c:v>1810</c:v>
                </c:pt>
                <c:pt idx="1">
                  <c:v>1692</c:v>
                </c:pt>
                <c:pt idx="2">
                  <c:v>1658</c:v>
                </c:pt>
                <c:pt idx="3">
                  <c:v>1613</c:v>
                </c:pt>
                <c:pt idx="4">
                  <c:v>1597</c:v>
                </c:pt>
              </c:numCache>
            </c:numRef>
          </c:val>
          <c:extLst>
            <c:ext xmlns:c16="http://schemas.microsoft.com/office/drawing/2014/chart" uri="{C3380CC4-5D6E-409C-BE32-E72D297353CC}">
              <c16:uniqueId val="{00000000-7C88-4010-BFF3-68955F8FDEC2}"/>
            </c:ext>
          </c:extLst>
        </c:ser>
        <c:dLbls>
          <c:showLegendKey val="0"/>
          <c:showVal val="0"/>
          <c:showCatName val="0"/>
          <c:showSerName val="0"/>
          <c:showPercent val="0"/>
          <c:showBubbleSize val="0"/>
        </c:dLbls>
        <c:gapWidth val="219"/>
        <c:overlap val="-27"/>
        <c:axId val="1518981119"/>
        <c:axId val="1518982783"/>
      </c:barChart>
      <c:catAx>
        <c:axId val="15189811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Shop Names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518982783"/>
        <c:crosses val="autoZero"/>
        <c:auto val="1"/>
        <c:lblAlgn val="ctr"/>
        <c:lblOffset val="100"/>
        <c:noMultiLvlLbl val="0"/>
      </c:catAx>
      <c:valAx>
        <c:axId val="15189827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Sum</a:t>
                </a:r>
                <a:r>
                  <a:rPr lang="en-US" baseline="0"/>
                  <a:t> of Inventory Left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518981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[Sales_Data_electronic_shop23.xlsx]Q6.!PivotTable6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'Q6.'!$B$3:$B$4</c:f>
              <c:strCache>
                <c:ptCount val="1"/>
                <c:pt idx="0">
                  <c:v>Eldoret</c:v>
                </c:pt>
              </c:strCache>
            </c:strRef>
          </c:tx>
          <c:spPr>
            <a:solidFill>
              <a:schemeClr val="accent1"/>
            </a:solidFill>
            <a:ln>
              <a:noFill/>
            </a:ln>
            <a:effectLst/>
          </c:spPr>
          <c:invertIfNegative val="0"/>
          <c:cat>
            <c:strRef>
              <c:f>'Q6.'!$A$5:$A$25</c:f>
              <c:strCache>
                <c:ptCount val="20"/>
                <c:pt idx="0">
                  <c:v>Beats Studio 3</c:v>
                </c:pt>
                <c:pt idx="1">
                  <c:v>Bose Quietcomfort 45</c:v>
                </c:pt>
                <c:pt idx="2">
                  <c:v>Canon Eos R10</c:v>
                </c:pt>
                <c:pt idx="3">
                  <c:v>Dell Inspiron 15</c:v>
                </c:pt>
                <c:pt idx="4">
                  <c:v>Gopro Hero 11</c:v>
                </c:pt>
                <c:pt idx="5">
                  <c:v>Hp Pavilion 14</c:v>
                </c:pt>
                <c:pt idx="6">
                  <c:v>Infinix Zero 5</c:v>
                </c:pt>
                <c:pt idx="7">
                  <c:v>Iphone 15</c:v>
                </c:pt>
                <c:pt idx="8">
                  <c:v>Jbl Tune 500</c:v>
                </c:pt>
                <c:pt idx="9">
                  <c:v>Lenovo Ideapad 3</c:v>
                </c:pt>
                <c:pt idx="10">
                  <c:v>Lg 55 Oled</c:v>
                </c:pt>
                <c:pt idx="11">
                  <c:v>Macbook Air M2</c:v>
                </c:pt>
                <c:pt idx="12">
                  <c:v>Nikon D3500</c:v>
                </c:pt>
                <c:pt idx="13">
                  <c:v>Samsung 50 Led</c:v>
                </c:pt>
                <c:pt idx="14">
                  <c:v>Samsung Galaxy S23</c:v>
                </c:pt>
                <c:pt idx="15">
                  <c:v>Sony Alpha 7C</c:v>
                </c:pt>
                <c:pt idx="16">
                  <c:v>Sony Bravia 60</c:v>
                </c:pt>
                <c:pt idx="17">
                  <c:v>Sony Wh-1000Xm5</c:v>
                </c:pt>
                <c:pt idx="18">
                  <c:v>Tcl 43 Led</c:v>
                </c:pt>
                <c:pt idx="19">
                  <c:v>Tecno Spark 11</c:v>
                </c:pt>
              </c:strCache>
            </c:strRef>
          </c:cat>
          <c:val>
            <c:numRef>
              <c:f>'Q6.'!$B$5:$B$25</c:f>
              <c:numCache>
                <c:formatCode>0%</c:formatCode>
                <c:ptCount val="20"/>
                <c:pt idx="0">
                  <c:v>3.7454691904953687E-2</c:v>
                </c:pt>
                <c:pt idx="1">
                  <c:v>6.202174788562223E-2</c:v>
                </c:pt>
                <c:pt idx="2">
                  <c:v>5.0342327829238823E-2</c:v>
                </c:pt>
                <c:pt idx="3">
                  <c:v>4.6314941602899715E-2</c:v>
                </c:pt>
                <c:pt idx="4">
                  <c:v>4.9134111961337094E-2</c:v>
                </c:pt>
                <c:pt idx="5">
                  <c:v>4.6314941602899715E-2</c:v>
                </c:pt>
                <c:pt idx="6">
                  <c:v>6.0008054772452676E-2</c:v>
                </c:pt>
                <c:pt idx="7">
                  <c:v>6.1216270640354412E-2</c:v>
                </c:pt>
                <c:pt idx="8">
                  <c:v>6.0410793395086586E-2</c:v>
                </c:pt>
                <c:pt idx="9">
                  <c:v>4.752315747080145E-2</c:v>
                </c:pt>
                <c:pt idx="10">
                  <c:v>4.3898509867096251E-2</c:v>
                </c:pt>
                <c:pt idx="11">
                  <c:v>5.3966975432944021E-2</c:v>
                </c:pt>
                <c:pt idx="12">
                  <c:v>5.3966975432944021E-2</c:v>
                </c:pt>
                <c:pt idx="13">
                  <c:v>5.7188884414015304E-2</c:v>
                </c:pt>
                <c:pt idx="14">
                  <c:v>5.1953282319774467E-2</c:v>
                </c:pt>
                <c:pt idx="15">
                  <c:v>4.027386226339106E-2</c:v>
                </c:pt>
                <c:pt idx="16">
                  <c:v>4.9536850583971004E-2</c:v>
                </c:pt>
                <c:pt idx="17">
                  <c:v>4.2690293999194523E-2</c:v>
                </c:pt>
                <c:pt idx="18">
                  <c:v>4.3495771244462342E-2</c:v>
                </c:pt>
                <c:pt idx="19">
                  <c:v>4.2287555376560614E-2</c:v>
                </c:pt>
              </c:numCache>
            </c:numRef>
          </c:val>
          <c:extLst>
            <c:ext xmlns:c16="http://schemas.microsoft.com/office/drawing/2014/chart" uri="{C3380CC4-5D6E-409C-BE32-E72D297353CC}">
              <c16:uniqueId val="{00000000-1731-4039-B48E-1828083F8EAD}"/>
            </c:ext>
          </c:extLst>
        </c:ser>
        <c:ser>
          <c:idx val="1"/>
          <c:order val="1"/>
          <c:tx>
            <c:strRef>
              <c:f>'Q6.'!$C$3:$C$4</c:f>
              <c:strCache>
                <c:ptCount val="1"/>
                <c:pt idx="0">
                  <c:v>Kisumu</c:v>
                </c:pt>
              </c:strCache>
            </c:strRef>
          </c:tx>
          <c:spPr>
            <a:solidFill>
              <a:schemeClr val="accent2"/>
            </a:solidFill>
            <a:ln>
              <a:noFill/>
            </a:ln>
            <a:effectLst/>
          </c:spPr>
          <c:invertIfNegative val="0"/>
          <c:cat>
            <c:strRef>
              <c:f>'Q6.'!$A$5:$A$25</c:f>
              <c:strCache>
                <c:ptCount val="20"/>
                <c:pt idx="0">
                  <c:v>Beats Studio 3</c:v>
                </c:pt>
                <c:pt idx="1">
                  <c:v>Bose Quietcomfort 45</c:v>
                </c:pt>
                <c:pt idx="2">
                  <c:v>Canon Eos R10</c:v>
                </c:pt>
                <c:pt idx="3">
                  <c:v>Dell Inspiron 15</c:v>
                </c:pt>
                <c:pt idx="4">
                  <c:v>Gopro Hero 11</c:v>
                </c:pt>
                <c:pt idx="5">
                  <c:v>Hp Pavilion 14</c:v>
                </c:pt>
                <c:pt idx="6">
                  <c:v>Infinix Zero 5</c:v>
                </c:pt>
                <c:pt idx="7">
                  <c:v>Iphone 15</c:v>
                </c:pt>
                <c:pt idx="8">
                  <c:v>Jbl Tune 500</c:v>
                </c:pt>
                <c:pt idx="9">
                  <c:v>Lenovo Ideapad 3</c:v>
                </c:pt>
                <c:pt idx="10">
                  <c:v>Lg 55 Oled</c:v>
                </c:pt>
                <c:pt idx="11">
                  <c:v>Macbook Air M2</c:v>
                </c:pt>
                <c:pt idx="12">
                  <c:v>Nikon D3500</c:v>
                </c:pt>
                <c:pt idx="13">
                  <c:v>Samsung 50 Led</c:v>
                </c:pt>
                <c:pt idx="14">
                  <c:v>Samsung Galaxy S23</c:v>
                </c:pt>
                <c:pt idx="15">
                  <c:v>Sony Alpha 7C</c:v>
                </c:pt>
                <c:pt idx="16">
                  <c:v>Sony Bravia 60</c:v>
                </c:pt>
                <c:pt idx="17">
                  <c:v>Sony Wh-1000Xm5</c:v>
                </c:pt>
                <c:pt idx="18">
                  <c:v>Tcl 43 Led</c:v>
                </c:pt>
                <c:pt idx="19">
                  <c:v>Tecno Spark 11</c:v>
                </c:pt>
              </c:strCache>
            </c:strRef>
          </c:cat>
          <c:val>
            <c:numRef>
              <c:f>'Q6.'!$C$5:$C$25</c:f>
              <c:numCache>
                <c:formatCode>0%</c:formatCode>
                <c:ptCount val="20"/>
                <c:pt idx="0">
                  <c:v>4.0457703310175723E-2</c:v>
                </c:pt>
                <c:pt idx="1">
                  <c:v>4.69963220269718E-2</c:v>
                </c:pt>
                <c:pt idx="2">
                  <c:v>4.4135676338373515E-2</c:v>
                </c:pt>
                <c:pt idx="3">
                  <c:v>5.5169595422966899E-2</c:v>
                </c:pt>
                <c:pt idx="4">
                  <c:v>4.5361667347772784E-2</c:v>
                </c:pt>
                <c:pt idx="5">
                  <c:v>5.3943604413567631E-2</c:v>
                </c:pt>
                <c:pt idx="6">
                  <c:v>5.3534940743767877E-2</c:v>
                </c:pt>
                <c:pt idx="7">
                  <c:v>5.0265631385369838E-2</c:v>
                </c:pt>
                <c:pt idx="8">
                  <c:v>4.9039640375970577E-2</c:v>
                </c:pt>
                <c:pt idx="9">
                  <c:v>6.3342868818961992E-2</c:v>
                </c:pt>
                <c:pt idx="10">
                  <c:v>5.4760931753167146E-2</c:v>
                </c:pt>
                <c:pt idx="11">
                  <c:v>5.1900286064568861E-2</c:v>
                </c:pt>
                <c:pt idx="12">
                  <c:v>5.6395586432366161E-2</c:v>
                </c:pt>
                <c:pt idx="13">
                  <c:v>5.5578259092766653E-2</c:v>
                </c:pt>
                <c:pt idx="14">
                  <c:v>4.0457703310175723E-2</c:v>
                </c:pt>
                <c:pt idx="15">
                  <c:v>5.9256232120964446E-2</c:v>
                </c:pt>
                <c:pt idx="16">
                  <c:v>4.5770331017572538E-2</c:v>
                </c:pt>
                <c:pt idx="17">
                  <c:v>5.5169595422966899E-2</c:v>
                </c:pt>
                <c:pt idx="18">
                  <c:v>3.7188393951777685E-2</c:v>
                </c:pt>
                <c:pt idx="19">
                  <c:v>4.1275030649775238E-2</c:v>
                </c:pt>
              </c:numCache>
            </c:numRef>
          </c:val>
          <c:extLst>
            <c:ext xmlns:c16="http://schemas.microsoft.com/office/drawing/2014/chart" uri="{C3380CC4-5D6E-409C-BE32-E72D297353CC}">
              <c16:uniqueId val="{00000001-1731-4039-B48E-1828083F8EAD}"/>
            </c:ext>
          </c:extLst>
        </c:ser>
        <c:ser>
          <c:idx val="2"/>
          <c:order val="2"/>
          <c:tx>
            <c:strRef>
              <c:f>'Q6.'!$D$3:$D$4</c:f>
              <c:strCache>
                <c:ptCount val="1"/>
                <c:pt idx="0">
                  <c:v>Mombasa</c:v>
                </c:pt>
              </c:strCache>
            </c:strRef>
          </c:tx>
          <c:spPr>
            <a:solidFill>
              <a:schemeClr val="accent3"/>
            </a:solidFill>
            <a:ln>
              <a:noFill/>
            </a:ln>
            <a:effectLst/>
          </c:spPr>
          <c:invertIfNegative val="0"/>
          <c:cat>
            <c:strRef>
              <c:f>'Q6.'!$A$5:$A$25</c:f>
              <c:strCache>
                <c:ptCount val="20"/>
                <c:pt idx="0">
                  <c:v>Beats Studio 3</c:v>
                </c:pt>
                <c:pt idx="1">
                  <c:v>Bose Quietcomfort 45</c:v>
                </c:pt>
                <c:pt idx="2">
                  <c:v>Canon Eos R10</c:v>
                </c:pt>
                <c:pt idx="3">
                  <c:v>Dell Inspiron 15</c:v>
                </c:pt>
                <c:pt idx="4">
                  <c:v>Gopro Hero 11</c:v>
                </c:pt>
                <c:pt idx="5">
                  <c:v>Hp Pavilion 14</c:v>
                </c:pt>
                <c:pt idx="6">
                  <c:v>Infinix Zero 5</c:v>
                </c:pt>
                <c:pt idx="7">
                  <c:v>Iphone 15</c:v>
                </c:pt>
                <c:pt idx="8">
                  <c:v>Jbl Tune 500</c:v>
                </c:pt>
                <c:pt idx="9">
                  <c:v>Lenovo Ideapad 3</c:v>
                </c:pt>
                <c:pt idx="10">
                  <c:v>Lg 55 Oled</c:v>
                </c:pt>
                <c:pt idx="11">
                  <c:v>Macbook Air M2</c:v>
                </c:pt>
                <c:pt idx="12">
                  <c:v>Nikon D3500</c:v>
                </c:pt>
                <c:pt idx="13">
                  <c:v>Samsung 50 Led</c:v>
                </c:pt>
                <c:pt idx="14">
                  <c:v>Samsung Galaxy S23</c:v>
                </c:pt>
                <c:pt idx="15">
                  <c:v>Sony Alpha 7C</c:v>
                </c:pt>
                <c:pt idx="16">
                  <c:v>Sony Bravia 60</c:v>
                </c:pt>
                <c:pt idx="17">
                  <c:v>Sony Wh-1000Xm5</c:v>
                </c:pt>
                <c:pt idx="18">
                  <c:v>Tcl 43 Led</c:v>
                </c:pt>
                <c:pt idx="19">
                  <c:v>Tecno Spark 11</c:v>
                </c:pt>
              </c:strCache>
            </c:strRef>
          </c:cat>
          <c:val>
            <c:numRef>
              <c:f>'Q6.'!$D$5:$D$25</c:f>
              <c:numCache>
                <c:formatCode>0%</c:formatCode>
                <c:ptCount val="20"/>
                <c:pt idx="0">
                  <c:v>5.3039575683394534E-2</c:v>
                </c:pt>
                <c:pt idx="1">
                  <c:v>5.2223582211342309E-2</c:v>
                </c:pt>
                <c:pt idx="2">
                  <c:v>6.1607507139942883E-2</c:v>
                </c:pt>
                <c:pt idx="3">
                  <c:v>4.8143614851081193E-2</c:v>
                </c:pt>
                <c:pt idx="4">
                  <c:v>4.9775601795185635E-2</c:v>
                </c:pt>
                <c:pt idx="5">
                  <c:v>4.7735618115055077E-2</c:v>
                </c:pt>
                <c:pt idx="6">
                  <c:v>4.5695634434924519E-2</c:v>
                </c:pt>
                <c:pt idx="7">
                  <c:v>5.2223582211342309E-2</c:v>
                </c:pt>
                <c:pt idx="8">
                  <c:v>4.6511627906976744E-2</c:v>
                </c:pt>
                <c:pt idx="9">
                  <c:v>5.18155854753162E-2</c:v>
                </c:pt>
                <c:pt idx="10">
                  <c:v>4.3655650754793961E-2</c:v>
                </c:pt>
                <c:pt idx="11">
                  <c:v>4.6103631170950635E-2</c:v>
                </c:pt>
                <c:pt idx="12">
                  <c:v>4.6919624643002859E-2</c:v>
                </c:pt>
                <c:pt idx="13">
                  <c:v>5.059159526723786E-2</c:v>
                </c:pt>
                <c:pt idx="14">
                  <c:v>5.18155854753162E-2</c:v>
                </c:pt>
                <c:pt idx="15">
                  <c:v>5.4671562627498983E-2</c:v>
                </c:pt>
                <c:pt idx="16">
                  <c:v>5.0183598531211751E-2</c:v>
                </c:pt>
                <c:pt idx="17">
                  <c:v>4.4471644226846185E-2</c:v>
                </c:pt>
                <c:pt idx="18">
                  <c:v>4.6103631170950635E-2</c:v>
                </c:pt>
                <c:pt idx="19">
                  <c:v>5.6711546307629541E-2</c:v>
                </c:pt>
              </c:numCache>
            </c:numRef>
          </c:val>
          <c:extLst>
            <c:ext xmlns:c16="http://schemas.microsoft.com/office/drawing/2014/chart" uri="{C3380CC4-5D6E-409C-BE32-E72D297353CC}">
              <c16:uniqueId val="{00000002-1731-4039-B48E-1828083F8EAD}"/>
            </c:ext>
          </c:extLst>
        </c:ser>
        <c:ser>
          <c:idx val="3"/>
          <c:order val="3"/>
          <c:tx>
            <c:strRef>
              <c:f>'Q6.'!$E$3:$E$4</c:f>
              <c:strCache>
                <c:ptCount val="1"/>
                <c:pt idx="0">
                  <c:v>Nairobi</c:v>
                </c:pt>
              </c:strCache>
            </c:strRef>
          </c:tx>
          <c:spPr>
            <a:solidFill>
              <a:schemeClr val="accent4"/>
            </a:solidFill>
            <a:ln>
              <a:noFill/>
            </a:ln>
            <a:effectLst/>
          </c:spPr>
          <c:invertIfNegative val="0"/>
          <c:cat>
            <c:strRef>
              <c:f>'Q6.'!$A$5:$A$25</c:f>
              <c:strCache>
                <c:ptCount val="20"/>
                <c:pt idx="0">
                  <c:v>Beats Studio 3</c:v>
                </c:pt>
                <c:pt idx="1">
                  <c:v>Bose Quietcomfort 45</c:v>
                </c:pt>
                <c:pt idx="2">
                  <c:v>Canon Eos R10</c:v>
                </c:pt>
                <c:pt idx="3">
                  <c:v>Dell Inspiron 15</c:v>
                </c:pt>
                <c:pt idx="4">
                  <c:v>Gopro Hero 11</c:v>
                </c:pt>
                <c:pt idx="5">
                  <c:v>Hp Pavilion 14</c:v>
                </c:pt>
                <c:pt idx="6">
                  <c:v>Infinix Zero 5</c:v>
                </c:pt>
                <c:pt idx="7">
                  <c:v>Iphone 15</c:v>
                </c:pt>
                <c:pt idx="8">
                  <c:v>Jbl Tune 500</c:v>
                </c:pt>
                <c:pt idx="9">
                  <c:v>Lenovo Ideapad 3</c:v>
                </c:pt>
                <c:pt idx="10">
                  <c:v>Lg 55 Oled</c:v>
                </c:pt>
                <c:pt idx="11">
                  <c:v>Macbook Air M2</c:v>
                </c:pt>
                <c:pt idx="12">
                  <c:v>Nikon D3500</c:v>
                </c:pt>
                <c:pt idx="13">
                  <c:v>Samsung 50 Led</c:v>
                </c:pt>
                <c:pt idx="14">
                  <c:v>Samsung Galaxy S23</c:v>
                </c:pt>
                <c:pt idx="15">
                  <c:v>Sony Alpha 7C</c:v>
                </c:pt>
                <c:pt idx="16">
                  <c:v>Sony Bravia 60</c:v>
                </c:pt>
                <c:pt idx="17">
                  <c:v>Sony Wh-1000Xm5</c:v>
                </c:pt>
                <c:pt idx="18">
                  <c:v>Tcl 43 Led</c:v>
                </c:pt>
                <c:pt idx="19">
                  <c:v>Tecno Spark 11</c:v>
                </c:pt>
              </c:strCache>
            </c:strRef>
          </c:cat>
          <c:val>
            <c:numRef>
              <c:f>'Q6.'!$E$5:$E$25</c:f>
              <c:numCache>
                <c:formatCode>0%</c:formatCode>
                <c:ptCount val="20"/>
                <c:pt idx="0">
                  <c:v>3.8461538461538464E-2</c:v>
                </c:pt>
                <c:pt idx="1">
                  <c:v>6.6779374471682168E-2</c:v>
                </c:pt>
                <c:pt idx="2">
                  <c:v>4.142011834319527E-2</c:v>
                </c:pt>
                <c:pt idx="3">
                  <c:v>3.8461538461538464E-2</c:v>
                </c:pt>
                <c:pt idx="4">
                  <c:v>5.3677092138630603E-2</c:v>
                </c:pt>
                <c:pt idx="5">
                  <c:v>5.1563820794590022E-2</c:v>
                </c:pt>
                <c:pt idx="6">
                  <c:v>5.2409129332206254E-2</c:v>
                </c:pt>
                <c:pt idx="7">
                  <c:v>5.1563820794590022E-2</c:v>
                </c:pt>
                <c:pt idx="8">
                  <c:v>4.6914623837700759E-2</c:v>
                </c:pt>
                <c:pt idx="9">
                  <c:v>4.5224006762468301E-2</c:v>
                </c:pt>
                <c:pt idx="10">
                  <c:v>5.1986475063398138E-2</c:v>
                </c:pt>
                <c:pt idx="11">
                  <c:v>4.4378698224852069E-2</c:v>
                </c:pt>
                <c:pt idx="12">
                  <c:v>5.3677092138630603E-2</c:v>
                </c:pt>
                <c:pt idx="13">
                  <c:v>4.9450549450549448E-2</c:v>
                </c:pt>
                <c:pt idx="14">
                  <c:v>4.4378698224852069E-2</c:v>
                </c:pt>
                <c:pt idx="15">
                  <c:v>5.2409129332206254E-2</c:v>
                </c:pt>
                <c:pt idx="16">
                  <c:v>4.8182586644125107E-2</c:v>
                </c:pt>
                <c:pt idx="17">
                  <c:v>5.3677092138630603E-2</c:v>
                </c:pt>
                <c:pt idx="18">
                  <c:v>3.9306846999154689E-2</c:v>
                </c:pt>
                <c:pt idx="19">
                  <c:v>7.6077768385460695E-2</c:v>
                </c:pt>
              </c:numCache>
            </c:numRef>
          </c:val>
          <c:extLst>
            <c:ext xmlns:c16="http://schemas.microsoft.com/office/drawing/2014/chart" uri="{C3380CC4-5D6E-409C-BE32-E72D297353CC}">
              <c16:uniqueId val="{00000003-1731-4039-B48E-1828083F8EAD}"/>
            </c:ext>
          </c:extLst>
        </c:ser>
        <c:ser>
          <c:idx val="4"/>
          <c:order val="4"/>
          <c:tx>
            <c:strRef>
              <c:f>'Q6.'!$F$3:$F$4</c:f>
              <c:strCache>
                <c:ptCount val="1"/>
                <c:pt idx="0">
                  <c:v>Nakuru</c:v>
                </c:pt>
              </c:strCache>
            </c:strRef>
          </c:tx>
          <c:spPr>
            <a:solidFill>
              <a:schemeClr val="accent5"/>
            </a:solidFill>
            <a:ln>
              <a:noFill/>
            </a:ln>
            <a:effectLst/>
          </c:spPr>
          <c:invertIfNegative val="0"/>
          <c:cat>
            <c:strRef>
              <c:f>'Q6.'!$A$5:$A$25</c:f>
              <c:strCache>
                <c:ptCount val="20"/>
                <c:pt idx="0">
                  <c:v>Beats Studio 3</c:v>
                </c:pt>
                <c:pt idx="1">
                  <c:v>Bose Quietcomfort 45</c:v>
                </c:pt>
                <c:pt idx="2">
                  <c:v>Canon Eos R10</c:v>
                </c:pt>
                <c:pt idx="3">
                  <c:v>Dell Inspiron 15</c:v>
                </c:pt>
                <c:pt idx="4">
                  <c:v>Gopro Hero 11</c:v>
                </c:pt>
                <c:pt idx="5">
                  <c:v>Hp Pavilion 14</c:v>
                </c:pt>
                <c:pt idx="6">
                  <c:v>Infinix Zero 5</c:v>
                </c:pt>
                <c:pt idx="7">
                  <c:v>Iphone 15</c:v>
                </c:pt>
                <c:pt idx="8">
                  <c:v>Jbl Tune 500</c:v>
                </c:pt>
                <c:pt idx="9">
                  <c:v>Lenovo Ideapad 3</c:v>
                </c:pt>
                <c:pt idx="10">
                  <c:v>Lg 55 Oled</c:v>
                </c:pt>
                <c:pt idx="11">
                  <c:v>Macbook Air M2</c:v>
                </c:pt>
                <c:pt idx="12">
                  <c:v>Nikon D3500</c:v>
                </c:pt>
                <c:pt idx="13">
                  <c:v>Samsung 50 Led</c:v>
                </c:pt>
                <c:pt idx="14">
                  <c:v>Samsung Galaxy S23</c:v>
                </c:pt>
                <c:pt idx="15">
                  <c:v>Sony Alpha 7C</c:v>
                </c:pt>
                <c:pt idx="16">
                  <c:v>Sony Bravia 60</c:v>
                </c:pt>
                <c:pt idx="17">
                  <c:v>Sony Wh-1000Xm5</c:v>
                </c:pt>
                <c:pt idx="18">
                  <c:v>Tcl 43 Led</c:v>
                </c:pt>
                <c:pt idx="19">
                  <c:v>Tecno Spark 11</c:v>
                </c:pt>
              </c:strCache>
            </c:strRef>
          </c:cat>
          <c:val>
            <c:numRef>
              <c:f>'Q6.'!$F$5:$F$25</c:f>
              <c:numCache>
                <c:formatCode>0%</c:formatCode>
                <c:ptCount val="20"/>
                <c:pt idx="0">
                  <c:v>4.6969088719389804E-2</c:v>
                </c:pt>
                <c:pt idx="1">
                  <c:v>5.6202328382175835E-2</c:v>
                </c:pt>
                <c:pt idx="2">
                  <c:v>5.86109995985548E-2</c:v>
                </c:pt>
                <c:pt idx="3">
                  <c:v>5.4195102368526697E-2</c:v>
                </c:pt>
                <c:pt idx="4">
                  <c:v>5.9815335206744279E-2</c:v>
                </c:pt>
                <c:pt idx="5">
                  <c:v>5.5800883179446002E-2</c:v>
                </c:pt>
                <c:pt idx="6">
                  <c:v>4.6166198313930151E-2</c:v>
                </c:pt>
                <c:pt idx="7">
                  <c:v>3.8940184664793258E-2</c:v>
                </c:pt>
                <c:pt idx="8">
                  <c:v>4.0545965475712563E-2</c:v>
                </c:pt>
                <c:pt idx="9">
                  <c:v>4.7771979124849456E-2</c:v>
                </c:pt>
                <c:pt idx="10">
                  <c:v>5.0180650341228421E-2</c:v>
                </c:pt>
                <c:pt idx="11">
                  <c:v>5.5800883179446002E-2</c:v>
                </c:pt>
                <c:pt idx="12">
                  <c:v>5.2990766760337212E-2</c:v>
                </c:pt>
                <c:pt idx="13">
                  <c:v>5.4596547571256523E-2</c:v>
                </c:pt>
                <c:pt idx="14">
                  <c:v>3.2918506623845843E-2</c:v>
                </c:pt>
                <c:pt idx="15">
                  <c:v>5.2187876354877559E-2</c:v>
                </c:pt>
                <c:pt idx="16">
                  <c:v>3.4925732637494981E-2</c:v>
                </c:pt>
                <c:pt idx="17">
                  <c:v>6.1421116017663591E-2</c:v>
                </c:pt>
                <c:pt idx="18">
                  <c:v>5.6603773584905662E-2</c:v>
                </c:pt>
                <c:pt idx="19">
                  <c:v>4.3356081894821354E-2</c:v>
                </c:pt>
              </c:numCache>
            </c:numRef>
          </c:val>
          <c:extLst>
            <c:ext xmlns:c16="http://schemas.microsoft.com/office/drawing/2014/chart" uri="{C3380CC4-5D6E-409C-BE32-E72D297353CC}">
              <c16:uniqueId val="{00000004-1731-4039-B48E-1828083F8EAD}"/>
            </c:ext>
          </c:extLst>
        </c:ser>
        <c:dLbls>
          <c:showLegendKey val="0"/>
          <c:showVal val="0"/>
          <c:showCatName val="0"/>
          <c:showSerName val="0"/>
          <c:showPercent val="0"/>
          <c:showBubbleSize val="0"/>
        </c:dLbls>
        <c:gapWidth val="150"/>
        <c:overlap val="100"/>
        <c:axId val="327945104"/>
        <c:axId val="327944688"/>
      </c:barChart>
      <c:catAx>
        <c:axId val="3279451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Products_Name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27944688"/>
        <c:crosses val="autoZero"/>
        <c:auto val="1"/>
        <c:lblAlgn val="ctr"/>
        <c:lblOffset val="100"/>
        <c:noMultiLvlLbl val="0"/>
      </c:catAx>
      <c:valAx>
        <c:axId val="3279446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i="0" u="none" strike="noStrike" baseline="0"/>
                  <a:t>% of Column Total</a:t>
                </a:r>
                <a:endParaRPr lang="en-US"/>
              </a:p>
            </c:rich>
          </c:tx>
          <c:layout>
            <c:manualLayout>
              <c:xMode val="edge"/>
              <c:yMode val="edge"/>
              <c:x val="3.0555555555555555E-2"/>
              <c:y val="0.1774332895888013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27945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'Q7'!$B$1</c:f>
              <c:strCache>
                <c:ptCount val="1"/>
                <c:pt idx="0">
                  <c:v> Profit_Margin </c:v>
                </c:pt>
              </c:strCache>
            </c:strRef>
          </c:tx>
          <c:spPr>
            <a:ln w="28575" cap="rnd">
              <a:solidFill>
                <a:schemeClr val="accent1"/>
              </a:solidFill>
              <a:round/>
            </a:ln>
            <a:effectLst/>
          </c:spPr>
          <c:marker>
            <c:symbol val="none"/>
          </c:marker>
          <c:val>
            <c:numRef>
              <c:f>'Q7'!$B$2:$B$26</c:f>
              <c:numCache>
                <c:formatCode>_-"Ksh"* #,##0_-;\-"Ksh"* #,##0_-;_-"Ksh"* "-"??_-;_-@_-</c:formatCode>
                <c:ptCount val="25"/>
                <c:pt idx="0">
                  <c:v>341610.01</c:v>
                </c:pt>
                <c:pt idx="1">
                  <c:v>299308.34000000003</c:v>
                </c:pt>
                <c:pt idx="2">
                  <c:v>317390.52</c:v>
                </c:pt>
                <c:pt idx="3">
                  <c:v>290772.03999999998</c:v>
                </c:pt>
                <c:pt idx="4">
                  <c:v>329448.48</c:v>
                </c:pt>
                <c:pt idx="5">
                  <c:v>324362.06</c:v>
                </c:pt>
                <c:pt idx="6">
                  <c:v>334918.36</c:v>
                </c:pt>
                <c:pt idx="7">
                  <c:v>356910.25</c:v>
                </c:pt>
                <c:pt idx="8">
                  <c:v>308856.32000000001</c:v>
                </c:pt>
                <c:pt idx="9">
                  <c:v>296054.49</c:v>
                </c:pt>
                <c:pt idx="10">
                  <c:v>296612.43</c:v>
                </c:pt>
                <c:pt idx="11">
                  <c:v>298382.06</c:v>
                </c:pt>
              </c:numCache>
            </c:numRef>
          </c:val>
          <c:smooth val="0"/>
          <c:extLst>
            <c:ext xmlns:c16="http://schemas.microsoft.com/office/drawing/2014/chart" uri="{C3380CC4-5D6E-409C-BE32-E72D297353CC}">
              <c16:uniqueId val="{00000000-43D0-4BBB-91E5-E25D085E4257}"/>
            </c:ext>
          </c:extLst>
        </c:ser>
        <c:ser>
          <c:idx val="1"/>
          <c:order val="1"/>
          <c:tx>
            <c:strRef>
              <c:f>'Q7'!$C$1</c:f>
              <c:strCache>
                <c:ptCount val="1"/>
                <c:pt idx="0">
                  <c:v>Forecast( Profit_Margin )</c:v>
                </c:pt>
              </c:strCache>
            </c:strRef>
          </c:tx>
          <c:spPr>
            <a:ln w="25400" cap="rnd">
              <a:solidFill>
                <a:schemeClr val="accent2"/>
              </a:solidFill>
              <a:round/>
            </a:ln>
            <a:effectLst/>
          </c:spPr>
          <c:marker>
            <c:symbol val="none"/>
          </c:marker>
          <c:cat>
            <c:numRef>
              <c:f>'Q7'!$A$2:$A$26</c:f>
              <c:numCache>
                <c:formatCode>mmm\-yy</c:formatCode>
                <c:ptCount val="25"/>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pt idx="12">
                  <c:v>46023</c:v>
                </c:pt>
                <c:pt idx="13">
                  <c:v>46054</c:v>
                </c:pt>
                <c:pt idx="14">
                  <c:v>46082</c:v>
                </c:pt>
                <c:pt idx="15">
                  <c:v>46113</c:v>
                </c:pt>
                <c:pt idx="16">
                  <c:v>46143</c:v>
                </c:pt>
                <c:pt idx="17">
                  <c:v>46174</c:v>
                </c:pt>
                <c:pt idx="18">
                  <c:v>46204</c:v>
                </c:pt>
                <c:pt idx="19">
                  <c:v>46235</c:v>
                </c:pt>
                <c:pt idx="20">
                  <c:v>46266</c:v>
                </c:pt>
                <c:pt idx="21">
                  <c:v>46296</c:v>
                </c:pt>
                <c:pt idx="22">
                  <c:v>46327</c:v>
                </c:pt>
                <c:pt idx="23">
                  <c:v>46357</c:v>
                </c:pt>
                <c:pt idx="24">
                  <c:v>46387</c:v>
                </c:pt>
              </c:numCache>
            </c:numRef>
          </c:cat>
          <c:val>
            <c:numRef>
              <c:f>'Q7'!$C$2:$C$26</c:f>
              <c:numCache>
                <c:formatCode>General</c:formatCode>
                <c:ptCount val="25"/>
                <c:pt idx="11" formatCode="_-&quot;Ksh&quot;* #,##0_-;\-&quot;Ksh&quot;* #,##0_-;_-&quot;Ksh&quot;* &quot;-&quot;??_-;_-@_-">
                  <c:v>298382.06</c:v>
                </c:pt>
                <c:pt idx="12" formatCode="_-&quot;Ksh&quot;* #,##0_-;\-&quot;Ksh&quot;* #,##0_-;_-&quot;Ksh&quot;* &quot;-&quot;??_-;_-@_-">
                  <c:v>309410.7392344781</c:v>
                </c:pt>
                <c:pt idx="13" formatCode="_-&quot;Ksh&quot;* #,##0_-;\-&quot;Ksh&quot;* #,##0_-;_-&quot;Ksh&quot;* &quot;-&quot;??_-;_-@_-">
                  <c:v>307664.35951359273</c:v>
                </c:pt>
                <c:pt idx="14" formatCode="_-&quot;Ksh&quot;* #,##0_-;\-&quot;Ksh&quot;* #,##0_-;_-&quot;Ksh&quot;* &quot;-&quot;??_-;_-@_-">
                  <c:v>305917.97979270731</c:v>
                </c:pt>
                <c:pt idx="15" formatCode="_-&quot;Ksh&quot;* #,##0_-;\-&quot;Ksh&quot;* #,##0_-;_-&quot;Ksh&quot;* &quot;-&quot;??_-;_-@_-">
                  <c:v>304171.60007182194</c:v>
                </c:pt>
                <c:pt idx="16" formatCode="_-&quot;Ksh&quot;* #,##0_-;\-&quot;Ksh&quot;* #,##0_-;_-&quot;Ksh&quot;* &quot;-&quot;??_-;_-@_-">
                  <c:v>302425.22035093652</c:v>
                </c:pt>
                <c:pt idx="17" formatCode="_-&quot;Ksh&quot;* #,##0_-;\-&quot;Ksh&quot;* #,##0_-;_-&quot;Ksh&quot;* &quot;-&quot;??_-;_-@_-">
                  <c:v>300678.84063005116</c:v>
                </c:pt>
                <c:pt idx="18" formatCode="_-&quot;Ksh&quot;* #,##0_-;\-&quot;Ksh&quot;* #,##0_-;_-&quot;Ksh&quot;* &quot;-&quot;??_-;_-@_-">
                  <c:v>298932.46090916573</c:v>
                </c:pt>
                <c:pt idx="19" formatCode="_-&quot;Ksh&quot;* #,##0_-;\-&quot;Ksh&quot;* #,##0_-;_-&quot;Ksh&quot;* &quot;-&quot;??_-;_-@_-">
                  <c:v>297186.08118828037</c:v>
                </c:pt>
                <c:pt idx="20" formatCode="_-&quot;Ksh&quot;* #,##0_-;\-&quot;Ksh&quot;* #,##0_-;_-&quot;Ksh&quot;* &quot;-&quot;??_-;_-@_-">
                  <c:v>295439.70146739495</c:v>
                </c:pt>
                <c:pt idx="21" formatCode="_-&quot;Ksh&quot;* #,##0_-;\-&quot;Ksh&quot;* #,##0_-;_-&quot;Ksh&quot;* &quot;-&quot;??_-;_-@_-">
                  <c:v>293693.32174650952</c:v>
                </c:pt>
                <c:pt idx="22" formatCode="_-&quot;Ksh&quot;* #,##0_-;\-&quot;Ksh&quot;* #,##0_-;_-&quot;Ksh&quot;* &quot;-&quot;??_-;_-@_-">
                  <c:v>291946.94202562416</c:v>
                </c:pt>
                <c:pt idx="23" formatCode="_-&quot;Ksh&quot;* #,##0_-;\-&quot;Ksh&quot;* #,##0_-;_-&quot;Ksh&quot;* &quot;-&quot;??_-;_-@_-">
                  <c:v>290200.56230473873</c:v>
                </c:pt>
                <c:pt idx="24" formatCode="_-&quot;Ksh&quot;* #,##0_-;\-&quot;Ksh&quot;* #,##0_-;_-&quot;Ksh&quot;* &quot;-&quot;??_-;_-@_-">
                  <c:v>288510.51741355937</c:v>
                </c:pt>
              </c:numCache>
            </c:numRef>
          </c:val>
          <c:smooth val="0"/>
          <c:extLst>
            <c:ext xmlns:c16="http://schemas.microsoft.com/office/drawing/2014/chart" uri="{C3380CC4-5D6E-409C-BE32-E72D297353CC}">
              <c16:uniqueId val="{00000001-43D0-4BBB-91E5-E25D085E4257}"/>
            </c:ext>
          </c:extLst>
        </c:ser>
        <c:ser>
          <c:idx val="2"/>
          <c:order val="2"/>
          <c:tx>
            <c:strRef>
              <c:f>'Q7'!$D$1</c:f>
              <c:strCache>
                <c:ptCount val="1"/>
                <c:pt idx="0">
                  <c:v>Lower Confidence Bound( Profit_Margin )</c:v>
                </c:pt>
              </c:strCache>
            </c:strRef>
          </c:tx>
          <c:spPr>
            <a:ln w="12700" cap="rnd">
              <a:solidFill>
                <a:srgbClr val="ED7D31"/>
              </a:solidFill>
              <a:prstDash val="solid"/>
              <a:round/>
            </a:ln>
            <a:effectLst/>
          </c:spPr>
          <c:marker>
            <c:symbol val="none"/>
          </c:marker>
          <c:cat>
            <c:numRef>
              <c:f>'Q7'!$A$2:$A$26</c:f>
              <c:numCache>
                <c:formatCode>mmm\-yy</c:formatCode>
                <c:ptCount val="25"/>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pt idx="12">
                  <c:v>46023</c:v>
                </c:pt>
                <c:pt idx="13">
                  <c:v>46054</c:v>
                </c:pt>
                <c:pt idx="14">
                  <c:v>46082</c:v>
                </c:pt>
                <c:pt idx="15">
                  <c:v>46113</c:v>
                </c:pt>
                <c:pt idx="16">
                  <c:v>46143</c:v>
                </c:pt>
                <c:pt idx="17">
                  <c:v>46174</c:v>
                </c:pt>
                <c:pt idx="18">
                  <c:v>46204</c:v>
                </c:pt>
                <c:pt idx="19">
                  <c:v>46235</c:v>
                </c:pt>
                <c:pt idx="20">
                  <c:v>46266</c:v>
                </c:pt>
                <c:pt idx="21">
                  <c:v>46296</c:v>
                </c:pt>
                <c:pt idx="22">
                  <c:v>46327</c:v>
                </c:pt>
                <c:pt idx="23">
                  <c:v>46357</c:v>
                </c:pt>
                <c:pt idx="24">
                  <c:v>46387</c:v>
                </c:pt>
              </c:numCache>
            </c:numRef>
          </c:cat>
          <c:val>
            <c:numRef>
              <c:f>'Q7'!$D$2:$D$26</c:f>
              <c:numCache>
                <c:formatCode>General</c:formatCode>
                <c:ptCount val="25"/>
                <c:pt idx="11" formatCode="_-&quot;Ksh&quot;* #,##0_-;\-&quot;Ksh&quot;* #,##0_-;_-&quot;Ksh&quot;* &quot;-&quot;??_-;_-@_-">
                  <c:v>298382.06</c:v>
                </c:pt>
                <c:pt idx="12" formatCode="_-&quot;Ksh&quot;* #,##0_-;\-&quot;Ksh&quot;* #,##0_-;_-&quot;Ksh&quot;* &quot;-&quot;??_-;_-@_-">
                  <c:v>264276.75824753614</c:v>
                </c:pt>
                <c:pt idx="13" formatCode="_-&quot;Ksh&quot;* #,##0_-;\-&quot;Ksh&quot;* #,##0_-;_-&quot;Ksh&quot;* &quot;-&quot;??_-;_-@_-">
                  <c:v>262300.75676368846</c:v>
                </c:pt>
                <c:pt idx="14" formatCode="_-&quot;Ksh&quot;* #,##0_-;\-&quot;Ksh&quot;* #,##0_-;_-&quot;Ksh&quot;* &quot;-&quot;??_-;_-@_-">
                  <c:v>260321.37689677582</c:v>
                </c:pt>
                <c:pt idx="15" formatCode="_-&quot;Ksh&quot;* #,##0_-;\-&quot;Ksh&quot;* #,##0_-;_-&quot;Ksh&quot;* &quot;-&quot;??_-;_-@_-">
                  <c:v>258338.62572499868</c:v>
                </c:pt>
                <c:pt idx="16" formatCode="_-&quot;Ksh&quot;* #,##0_-;\-&quot;Ksh&quot;* #,##0_-;_-&quot;Ksh&quot;* &quot;-&quot;??_-;_-@_-">
                  <c:v>256352.51092240959</c:v>
                </c:pt>
                <c:pt idx="17" formatCode="_-&quot;Ksh&quot;* #,##0_-;\-&quot;Ksh&quot;* #,##0_-;_-&quot;Ksh&quot;* &quot;-&quot;??_-;_-@_-">
                  <c:v>254363.04073812987</c:v>
                </c:pt>
                <c:pt idx="18" formatCode="_-&quot;Ksh&quot;* #,##0_-;\-&quot;Ksh&quot;* #,##0_-;_-&quot;Ksh&quot;* &quot;-&quot;??_-;_-@_-">
                  <c:v>252370.22397559372</c:v>
                </c:pt>
                <c:pt idx="19" formatCode="_-&quot;Ksh&quot;* #,##0_-;\-&quot;Ksh&quot;* #,##0_-;_-&quot;Ksh&quot;* &quot;-&quot;??_-;_-@_-">
                  <c:v>250374.06997185471</c:v>
                </c:pt>
                <c:pt idx="20" formatCode="_-&quot;Ksh&quot;* #,##0_-;\-&quot;Ksh&quot;* #,##0_-;_-&quot;Ksh&quot;* &quot;-&quot;??_-;_-@_-">
                  <c:v>248374.5885769857</c:v>
                </c:pt>
                <c:pt idx="21" formatCode="_-&quot;Ksh&quot;* #,##0_-;\-&quot;Ksh&quot;* #,##0_-;_-&quot;Ksh&quot;* &quot;-&quot;??_-;_-@_-">
                  <c:v>246371.79013360423</c:v>
                </c:pt>
                <c:pt idx="22" formatCode="_-&quot;Ksh&quot;* #,##0_-;\-&quot;Ksh&quot;* #,##0_-;_-&quot;Ksh&quot;* &quot;-&quot;??_-;_-@_-">
                  <c:v>244365.68545655144</c:v>
                </c:pt>
                <c:pt idx="23" formatCode="_-&quot;Ksh&quot;* #,##0_-;\-&quot;Ksh&quot;* #,##0_-;_-&quot;Ksh&quot;* &quot;-&quot;??_-;_-@_-">
                  <c:v>242356.28581275244</c:v>
                </c:pt>
                <c:pt idx="24" formatCode="_-&quot;Ksh&quot;* #,##0_-;\-&quot;Ksh&quot;* #,##0_-;_-&quot;Ksh&quot;* &quot;-&quot;??_-;_-@_-">
                  <c:v>240408.50514432872</c:v>
                </c:pt>
              </c:numCache>
            </c:numRef>
          </c:val>
          <c:smooth val="0"/>
          <c:extLst>
            <c:ext xmlns:c16="http://schemas.microsoft.com/office/drawing/2014/chart" uri="{C3380CC4-5D6E-409C-BE32-E72D297353CC}">
              <c16:uniqueId val="{00000002-43D0-4BBB-91E5-E25D085E4257}"/>
            </c:ext>
          </c:extLst>
        </c:ser>
        <c:ser>
          <c:idx val="3"/>
          <c:order val="3"/>
          <c:tx>
            <c:strRef>
              <c:f>'Q7'!$E$1</c:f>
              <c:strCache>
                <c:ptCount val="1"/>
                <c:pt idx="0">
                  <c:v>Upper Confidence Bound( Profit_Margin )</c:v>
                </c:pt>
              </c:strCache>
            </c:strRef>
          </c:tx>
          <c:spPr>
            <a:ln w="12700" cap="rnd">
              <a:solidFill>
                <a:srgbClr val="ED7D31"/>
              </a:solidFill>
              <a:prstDash val="solid"/>
              <a:round/>
            </a:ln>
            <a:effectLst/>
          </c:spPr>
          <c:marker>
            <c:symbol val="none"/>
          </c:marker>
          <c:cat>
            <c:numRef>
              <c:f>'Q7'!$A$2:$A$26</c:f>
              <c:numCache>
                <c:formatCode>mmm\-yy</c:formatCode>
                <c:ptCount val="25"/>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pt idx="12">
                  <c:v>46023</c:v>
                </c:pt>
                <c:pt idx="13">
                  <c:v>46054</c:v>
                </c:pt>
                <c:pt idx="14">
                  <c:v>46082</c:v>
                </c:pt>
                <c:pt idx="15">
                  <c:v>46113</c:v>
                </c:pt>
                <c:pt idx="16">
                  <c:v>46143</c:v>
                </c:pt>
                <c:pt idx="17">
                  <c:v>46174</c:v>
                </c:pt>
                <c:pt idx="18">
                  <c:v>46204</c:v>
                </c:pt>
                <c:pt idx="19">
                  <c:v>46235</c:v>
                </c:pt>
                <c:pt idx="20">
                  <c:v>46266</c:v>
                </c:pt>
                <c:pt idx="21">
                  <c:v>46296</c:v>
                </c:pt>
                <c:pt idx="22">
                  <c:v>46327</c:v>
                </c:pt>
                <c:pt idx="23">
                  <c:v>46357</c:v>
                </c:pt>
                <c:pt idx="24">
                  <c:v>46387</c:v>
                </c:pt>
              </c:numCache>
            </c:numRef>
          </c:cat>
          <c:val>
            <c:numRef>
              <c:f>'Q7'!$E$2:$E$26</c:f>
              <c:numCache>
                <c:formatCode>General</c:formatCode>
                <c:ptCount val="25"/>
                <c:pt idx="11" formatCode="_-&quot;Ksh&quot;* #,##0_-;\-&quot;Ksh&quot;* #,##0_-;_-&quot;Ksh&quot;* &quot;-&quot;??_-;_-@_-">
                  <c:v>298382.06</c:v>
                </c:pt>
                <c:pt idx="12" formatCode="_-&quot;Ksh&quot;* #,##0_-;\-&quot;Ksh&quot;* #,##0_-;_-&quot;Ksh&quot;* &quot;-&quot;??_-;_-@_-">
                  <c:v>354544.72022142005</c:v>
                </c:pt>
                <c:pt idx="13" formatCode="_-&quot;Ksh&quot;* #,##0_-;\-&quot;Ksh&quot;* #,##0_-;_-&quot;Ksh&quot;* &quot;-&quot;??_-;_-@_-">
                  <c:v>353027.962263497</c:v>
                </c:pt>
                <c:pt idx="14" formatCode="_-&quot;Ksh&quot;* #,##0_-;\-&quot;Ksh&quot;* #,##0_-;_-&quot;Ksh&quot;* &quot;-&quot;??_-;_-@_-">
                  <c:v>351514.58268863882</c:v>
                </c:pt>
                <c:pt idx="15" formatCode="_-&quot;Ksh&quot;* #,##0_-;\-&quot;Ksh&quot;* #,##0_-;_-&quot;Ksh&quot;* &quot;-&quot;??_-;_-@_-">
                  <c:v>350004.57441864524</c:v>
                </c:pt>
                <c:pt idx="16" formatCode="_-&quot;Ksh&quot;* #,##0_-;\-&quot;Ksh&quot;* #,##0_-;_-&quot;Ksh&quot;* &quot;-&quot;??_-;_-@_-">
                  <c:v>348497.92977946345</c:v>
                </c:pt>
                <c:pt idx="17" formatCode="_-&quot;Ksh&quot;* #,##0_-;\-&quot;Ksh&quot;* #,##0_-;_-&quot;Ksh&quot;* &quot;-&quot;??_-;_-@_-">
                  <c:v>346994.64052197244</c:v>
                </c:pt>
                <c:pt idx="18" formatCode="_-&quot;Ksh&quot;* #,##0_-;\-&quot;Ksh&quot;* #,##0_-;_-&quot;Ksh&quot;* &quot;-&quot;??_-;_-@_-">
                  <c:v>345494.69784273772</c:v>
                </c:pt>
                <c:pt idx="19" formatCode="_-&quot;Ksh&quot;* #,##0_-;\-&quot;Ksh&quot;* #,##0_-;_-&quot;Ksh&quot;* &quot;-&quot;??_-;_-@_-">
                  <c:v>343998.09240470605</c:v>
                </c:pt>
                <c:pt idx="20" formatCode="_-&quot;Ksh&quot;* #,##0_-;\-&quot;Ksh&quot;* #,##0_-;_-&quot;Ksh&quot;* &quot;-&quot;??_-;_-@_-">
                  <c:v>342504.81435780419</c:v>
                </c:pt>
                <c:pt idx="21" formatCode="_-&quot;Ksh&quot;* #,##0_-;\-&quot;Ksh&quot;* #,##0_-;_-&quot;Ksh&quot;* &quot;-&quot;??_-;_-@_-">
                  <c:v>341014.85335941485</c:v>
                </c:pt>
                <c:pt idx="22" formatCode="_-&quot;Ksh&quot;* #,##0_-;\-&quot;Ksh&quot;* #,##0_-;_-&quot;Ksh&quot;* &quot;-&quot;??_-;_-@_-">
                  <c:v>339528.19859469688</c:v>
                </c:pt>
                <c:pt idx="23" formatCode="_-&quot;Ksh&quot;* #,##0_-;\-&quot;Ksh&quot;* #,##0_-;_-&quot;Ksh&quot;* &quot;-&quot;??_-;_-@_-">
                  <c:v>338044.83879672503</c:v>
                </c:pt>
                <c:pt idx="24" formatCode="_-&quot;Ksh&quot;* #,##0_-;\-&quot;Ksh&quot;* #,##0_-;_-&quot;Ksh&quot;* &quot;-&quot;??_-;_-@_-">
                  <c:v>336612.52968279005</c:v>
                </c:pt>
              </c:numCache>
            </c:numRef>
          </c:val>
          <c:smooth val="0"/>
          <c:extLst>
            <c:ext xmlns:c16="http://schemas.microsoft.com/office/drawing/2014/chart" uri="{C3380CC4-5D6E-409C-BE32-E72D297353CC}">
              <c16:uniqueId val="{00000003-43D0-4BBB-91E5-E25D085E4257}"/>
            </c:ext>
          </c:extLst>
        </c:ser>
        <c:dLbls>
          <c:showLegendKey val="0"/>
          <c:showVal val="0"/>
          <c:showCatName val="0"/>
          <c:showSerName val="0"/>
          <c:showPercent val="0"/>
          <c:showBubbleSize val="0"/>
        </c:dLbls>
        <c:smooth val="0"/>
        <c:axId val="61772272"/>
        <c:axId val="61796400"/>
      </c:lineChart>
      <c:catAx>
        <c:axId val="61772272"/>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1796400"/>
        <c:crosses val="autoZero"/>
        <c:auto val="1"/>
        <c:lblAlgn val="ctr"/>
        <c:lblOffset val="100"/>
        <c:noMultiLvlLbl val="0"/>
      </c:catAx>
      <c:valAx>
        <c:axId val="61796400"/>
        <c:scaling>
          <c:orientation val="minMax"/>
        </c:scaling>
        <c:delete val="0"/>
        <c:axPos val="l"/>
        <c:majorGridlines>
          <c:spPr>
            <a:ln w="9525" cap="flat" cmpd="sng" algn="ctr">
              <a:solidFill>
                <a:schemeClr val="tx1">
                  <a:lumMod val="15000"/>
                  <a:lumOff val="85000"/>
                </a:schemeClr>
              </a:solidFill>
              <a:round/>
            </a:ln>
            <a:effectLst/>
          </c:spPr>
        </c:majorGridlines>
        <c:numFmt formatCode="_-&quot;Ksh&quot;* #,##0_-;\-&quot;Ksh&quot;* #,##0_-;_-&quot;Ksh&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17722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[Sales_Data_electronic_shop23.xlsx]Q8.!PivotTable1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Are there shops with </a:t>
            </a:r>
            <a:r>
              <a:rPr lang="en-US" sz="1400" b="1" i="0" u="none" strike="noStrike" baseline="0"/>
              <a:t>high expenses relative to revenue</a:t>
            </a:r>
            <a:r>
              <a:rPr lang="en-US" sz="1400" b="0" i="0" u="none" strike="noStrike" baseline="0"/>
              <a:t>, suggesting inefficiency?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'Q8.'!$B$3</c:f>
              <c:strCache>
                <c:ptCount val="1"/>
                <c:pt idx="0">
                  <c:v>Sum of Total_Sales_KES</c:v>
                </c:pt>
              </c:strCache>
            </c:strRef>
          </c:tx>
          <c:spPr>
            <a:solidFill>
              <a:schemeClr val="accent1"/>
            </a:solidFill>
            <a:ln>
              <a:noFill/>
            </a:ln>
            <a:effectLst/>
          </c:spPr>
          <c:invertIfNegative val="0"/>
          <c:cat>
            <c:strRef>
              <c:f>'Q8.'!$A$4:$A$9</c:f>
              <c:strCache>
                <c:ptCount val="5"/>
                <c:pt idx="0">
                  <c:v>Highland Electronics</c:v>
                </c:pt>
                <c:pt idx="1">
                  <c:v>Rift Valley Tech</c:v>
                </c:pt>
                <c:pt idx="2">
                  <c:v>Nairobi Hub</c:v>
                </c:pt>
                <c:pt idx="3">
                  <c:v>Coast Mart</c:v>
                </c:pt>
                <c:pt idx="4">
                  <c:v>Lakeview Store</c:v>
                </c:pt>
              </c:strCache>
            </c:strRef>
          </c:cat>
          <c:val>
            <c:numRef>
              <c:f>'Q8.'!$B$4:$B$9</c:f>
              <c:numCache>
                <c:formatCode>"Ksh"#,##0</c:formatCode>
                <c:ptCount val="5"/>
                <c:pt idx="0">
                  <c:v>162835078</c:v>
                </c:pt>
                <c:pt idx="1">
                  <c:v>167120750</c:v>
                </c:pt>
                <c:pt idx="2">
                  <c:v>161721072</c:v>
                </c:pt>
                <c:pt idx="3">
                  <c:v>179114592</c:v>
                </c:pt>
                <c:pt idx="4">
                  <c:v>179450120</c:v>
                </c:pt>
              </c:numCache>
            </c:numRef>
          </c:val>
          <c:extLst>
            <c:ext xmlns:c16="http://schemas.microsoft.com/office/drawing/2014/chart" uri="{C3380CC4-5D6E-409C-BE32-E72D297353CC}">
              <c16:uniqueId val="{00000000-64DD-4990-87EB-8AB26C5E0D6C}"/>
            </c:ext>
          </c:extLst>
        </c:ser>
        <c:ser>
          <c:idx val="1"/>
          <c:order val="1"/>
          <c:tx>
            <c:strRef>
              <c:f>'Q8.'!$C$3</c:f>
              <c:strCache>
                <c:ptCount val="1"/>
                <c:pt idx="0">
                  <c:v>Sum of Total_Expenses_KES</c:v>
                </c:pt>
              </c:strCache>
            </c:strRef>
          </c:tx>
          <c:spPr>
            <a:solidFill>
              <a:schemeClr val="accent2"/>
            </a:solidFill>
            <a:ln>
              <a:noFill/>
            </a:ln>
            <a:effectLst/>
          </c:spPr>
          <c:invertIfNegative val="0"/>
          <c:cat>
            <c:strRef>
              <c:f>'Q8.'!$A$4:$A$9</c:f>
              <c:strCache>
                <c:ptCount val="5"/>
                <c:pt idx="0">
                  <c:v>Highland Electronics</c:v>
                </c:pt>
                <c:pt idx="1">
                  <c:v>Rift Valley Tech</c:v>
                </c:pt>
                <c:pt idx="2">
                  <c:v>Nairobi Hub</c:v>
                </c:pt>
                <c:pt idx="3">
                  <c:v>Coast Mart</c:v>
                </c:pt>
                <c:pt idx="4">
                  <c:v>Lakeview Store</c:v>
                </c:pt>
              </c:strCache>
            </c:strRef>
          </c:cat>
          <c:val>
            <c:numRef>
              <c:f>'Q8.'!$C$4:$C$9</c:f>
              <c:numCache>
                <c:formatCode>"Ksh"#,##0</c:formatCode>
                <c:ptCount val="5"/>
                <c:pt idx="0">
                  <c:v>91767073</c:v>
                </c:pt>
                <c:pt idx="1">
                  <c:v>92696558</c:v>
                </c:pt>
                <c:pt idx="2">
                  <c:v>89549369</c:v>
                </c:pt>
                <c:pt idx="3">
                  <c:v>98850041</c:v>
                </c:pt>
                <c:pt idx="4">
                  <c:v>97916035</c:v>
                </c:pt>
              </c:numCache>
            </c:numRef>
          </c:val>
          <c:extLst>
            <c:ext xmlns:c16="http://schemas.microsoft.com/office/drawing/2014/chart" uri="{C3380CC4-5D6E-409C-BE32-E72D297353CC}">
              <c16:uniqueId val="{00000001-64DD-4990-87EB-8AB26C5E0D6C}"/>
            </c:ext>
          </c:extLst>
        </c:ser>
        <c:dLbls>
          <c:showLegendKey val="0"/>
          <c:showVal val="0"/>
          <c:showCatName val="0"/>
          <c:showSerName val="0"/>
          <c:showPercent val="0"/>
          <c:showBubbleSize val="0"/>
        </c:dLbls>
        <c:gapWidth val="219"/>
        <c:overlap val="-27"/>
        <c:axId val="550149840"/>
        <c:axId val="550129040"/>
      </c:barChart>
      <c:lineChart>
        <c:grouping val="standard"/>
        <c:varyColors val="0"/>
        <c:ser>
          <c:idx val="2"/>
          <c:order val="2"/>
          <c:tx>
            <c:strRef>
              <c:f>'Q8.'!$D$3</c:f>
              <c:strCache>
                <c:ptCount val="1"/>
                <c:pt idx="0">
                  <c:v>Efficiency in %</c:v>
                </c:pt>
              </c:strCache>
            </c:strRef>
          </c:tx>
          <c:spPr>
            <a:ln w="28575" cap="rnd">
              <a:solidFill>
                <a:schemeClr val="accent3"/>
              </a:solidFill>
              <a:round/>
            </a:ln>
            <a:effectLst/>
          </c:spPr>
          <c:marker>
            <c:symbol val="none"/>
          </c:marker>
          <c:cat>
            <c:strRef>
              <c:f>'Q8.'!$A$4:$A$9</c:f>
              <c:strCache>
                <c:ptCount val="5"/>
                <c:pt idx="0">
                  <c:v>Highland Electronics</c:v>
                </c:pt>
                <c:pt idx="1">
                  <c:v>Rift Valley Tech</c:v>
                </c:pt>
                <c:pt idx="2">
                  <c:v>Nairobi Hub</c:v>
                </c:pt>
                <c:pt idx="3">
                  <c:v>Coast Mart</c:v>
                </c:pt>
                <c:pt idx="4">
                  <c:v>Lakeview Store</c:v>
                </c:pt>
              </c:strCache>
            </c:strRef>
          </c:cat>
          <c:val>
            <c:numRef>
              <c:f>'Q8.'!$D$4:$D$9</c:f>
              <c:numCache>
                <c:formatCode>0%</c:formatCode>
                <c:ptCount val="5"/>
                <c:pt idx="0">
                  <c:v>0.56355838144407677</c:v>
                </c:pt>
                <c:pt idx="1">
                  <c:v>0.55466815461275754</c:v>
                </c:pt>
                <c:pt idx="2">
                  <c:v>0.55372727803832511</c:v>
                </c:pt>
                <c:pt idx="3">
                  <c:v>0.55188156306103753</c:v>
                </c:pt>
                <c:pt idx="4">
                  <c:v>0.54564485663202678</c:v>
                </c:pt>
              </c:numCache>
            </c:numRef>
          </c:val>
          <c:smooth val="0"/>
          <c:extLst>
            <c:ext xmlns:c16="http://schemas.microsoft.com/office/drawing/2014/chart" uri="{C3380CC4-5D6E-409C-BE32-E72D297353CC}">
              <c16:uniqueId val="{00000002-64DD-4990-87EB-8AB26C5E0D6C}"/>
            </c:ext>
          </c:extLst>
        </c:ser>
        <c:dLbls>
          <c:showLegendKey val="0"/>
          <c:showVal val="0"/>
          <c:showCatName val="0"/>
          <c:showSerName val="0"/>
          <c:showPercent val="0"/>
          <c:showBubbleSize val="0"/>
        </c:dLbls>
        <c:marker val="1"/>
        <c:smooth val="0"/>
        <c:axId val="550150256"/>
        <c:axId val="550142768"/>
      </c:lineChart>
      <c:catAx>
        <c:axId val="5501498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Shop_Name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50129040"/>
        <c:crosses val="autoZero"/>
        <c:auto val="1"/>
        <c:lblAlgn val="ctr"/>
        <c:lblOffset val="100"/>
        <c:noMultiLvlLbl val="0"/>
      </c:catAx>
      <c:valAx>
        <c:axId val="5501290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Total_sales &amp; Expenses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50149840"/>
        <c:crosses val="autoZero"/>
        <c:crossBetween val="between"/>
      </c:valAx>
      <c:valAx>
        <c:axId val="550142768"/>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Efficiency in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50150256"/>
        <c:crosses val="max"/>
        <c:crossBetween val="between"/>
      </c:valAx>
      <c:catAx>
        <c:axId val="550150256"/>
        <c:scaling>
          <c:orientation val="minMax"/>
        </c:scaling>
        <c:delete val="1"/>
        <c:axPos val="b"/>
        <c:numFmt formatCode="General" sourceLinked="1"/>
        <c:majorTickMark val="out"/>
        <c:minorTickMark val="none"/>
        <c:tickLblPos val="nextTo"/>
        <c:crossAx val="55014276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Which products should get marketing promotions based on slow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barChart>
        <c:barDir val="col"/>
        <c:grouping val="clustered"/>
        <c:varyColors val="0"/>
        <c:ser>
          <c:idx val="0"/>
          <c:order val="0"/>
          <c:tx>
            <c:strRef>
              <c:f>'Q9.'!$M$3</c:f>
              <c:strCache>
                <c:ptCount val="1"/>
                <c:pt idx="0">
                  <c:v>Total_Sales</c:v>
                </c:pt>
              </c:strCache>
            </c:strRef>
          </c:tx>
          <c:spPr>
            <a:solidFill>
              <a:schemeClr val="accent1"/>
            </a:solidFill>
            <a:ln>
              <a:noFill/>
            </a:ln>
            <a:effectLst/>
          </c:spPr>
          <c:invertIfNegative val="0"/>
          <c:cat>
            <c:strRef>
              <c:f>'Q9.'!$L$4:$L$23</c:f>
              <c:strCache>
                <c:ptCount val="20"/>
                <c:pt idx="0">
                  <c:v>Beats Studio 3</c:v>
                </c:pt>
                <c:pt idx="1">
                  <c:v>Jbl Tune 500</c:v>
                </c:pt>
                <c:pt idx="2">
                  <c:v>Sony Wh-1000Xm5</c:v>
                </c:pt>
                <c:pt idx="3">
                  <c:v>Bose Quietcomfort 45</c:v>
                </c:pt>
                <c:pt idx="4">
                  <c:v>Dell Inspiron 15</c:v>
                </c:pt>
                <c:pt idx="5">
                  <c:v>Samsung Galaxy S23</c:v>
                </c:pt>
                <c:pt idx="6">
                  <c:v>Sony Alpha 7C</c:v>
                </c:pt>
                <c:pt idx="7">
                  <c:v>Tcl 43 Led</c:v>
                </c:pt>
                <c:pt idx="8">
                  <c:v>Sony Bravia 60</c:v>
                </c:pt>
                <c:pt idx="9">
                  <c:v>Nikon D3500</c:v>
                </c:pt>
                <c:pt idx="10">
                  <c:v>Macbook Air M2</c:v>
                </c:pt>
                <c:pt idx="11">
                  <c:v>Gopro Hero 11</c:v>
                </c:pt>
                <c:pt idx="12">
                  <c:v>Hp Pavilion 14</c:v>
                </c:pt>
                <c:pt idx="13">
                  <c:v>Tecno Spark 11</c:v>
                </c:pt>
                <c:pt idx="14">
                  <c:v>Lg 55 Oled</c:v>
                </c:pt>
                <c:pt idx="15">
                  <c:v>Lenovo Ideapad 3</c:v>
                </c:pt>
                <c:pt idx="16">
                  <c:v>Infinix Zero 5</c:v>
                </c:pt>
                <c:pt idx="17">
                  <c:v>Samsung 50 Led</c:v>
                </c:pt>
                <c:pt idx="18">
                  <c:v>Iphone 15</c:v>
                </c:pt>
                <c:pt idx="19">
                  <c:v>Canon Eos R10</c:v>
                </c:pt>
              </c:strCache>
            </c:strRef>
          </c:cat>
          <c:val>
            <c:numRef>
              <c:f>'Q9.'!$M$4:$M$23</c:f>
              <c:numCache>
                <c:formatCode>"Ksh"#,##0</c:formatCode>
                <c:ptCount val="20"/>
                <c:pt idx="0">
                  <c:v>6857986</c:v>
                </c:pt>
                <c:pt idx="1">
                  <c:v>7475604</c:v>
                </c:pt>
                <c:pt idx="2">
                  <c:v>7910311</c:v>
                </c:pt>
                <c:pt idx="3">
                  <c:v>8489600</c:v>
                </c:pt>
                <c:pt idx="4">
                  <c:v>43806921</c:v>
                </c:pt>
                <c:pt idx="5">
                  <c:v>44311913</c:v>
                </c:pt>
                <c:pt idx="6">
                  <c:v>44702239</c:v>
                </c:pt>
                <c:pt idx="7">
                  <c:v>47346422</c:v>
                </c:pt>
                <c:pt idx="8">
                  <c:v>47674894</c:v>
                </c:pt>
                <c:pt idx="9">
                  <c:v>48697842</c:v>
                </c:pt>
                <c:pt idx="10">
                  <c:v>49159462</c:v>
                </c:pt>
                <c:pt idx="11">
                  <c:v>50358261</c:v>
                </c:pt>
                <c:pt idx="12">
                  <c:v>51561364</c:v>
                </c:pt>
                <c:pt idx="13">
                  <c:v>52009492</c:v>
                </c:pt>
                <c:pt idx="14">
                  <c:v>52410041</c:v>
                </c:pt>
                <c:pt idx="15">
                  <c:v>53732428</c:v>
                </c:pt>
                <c:pt idx="16">
                  <c:v>54170047</c:v>
                </c:pt>
                <c:pt idx="17">
                  <c:v>56885379</c:v>
                </c:pt>
                <c:pt idx="18">
                  <c:v>57794972</c:v>
                </c:pt>
                <c:pt idx="19">
                  <c:v>64886434</c:v>
                </c:pt>
              </c:numCache>
            </c:numRef>
          </c:val>
          <c:extLst>
            <c:ext xmlns:c16="http://schemas.microsoft.com/office/drawing/2014/chart" uri="{C3380CC4-5D6E-409C-BE32-E72D297353CC}">
              <c16:uniqueId val="{00000000-6349-4308-9E6D-A6D9A57608D8}"/>
            </c:ext>
          </c:extLst>
        </c:ser>
        <c:dLbls>
          <c:showLegendKey val="0"/>
          <c:showVal val="0"/>
          <c:showCatName val="0"/>
          <c:showSerName val="0"/>
          <c:showPercent val="0"/>
          <c:showBubbleSize val="0"/>
        </c:dLbls>
        <c:gapWidth val="219"/>
        <c:overlap val="-27"/>
        <c:axId val="656782224"/>
        <c:axId val="656761008"/>
        <c:extLst>
          <c:ext xmlns:c15="http://schemas.microsoft.com/office/drawing/2012/chart" uri="{02D57815-91ED-43cb-92C2-25804820EDAC}">
            <c15:filteredBarSeries>
              <c15:ser>
                <c:idx val="1"/>
                <c:order val="1"/>
                <c:tx>
                  <c:strRef>
                    <c:extLst>
                      <c:ext uri="{02D57815-91ED-43cb-92C2-25804820EDAC}">
                        <c15:formulaRef>
                          <c15:sqref>'Q9.'!$N$3</c15:sqref>
                        </c15:formulaRef>
                      </c:ext>
                    </c:extLst>
                    <c:strCache>
                      <c:ptCount val="1"/>
                      <c:pt idx="0">
                        <c:v>Promotion_Flag</c:v>
                      </c:pt>
                    </c:strCache>
                  </c:strRef>
                </c:tx>
                <c:spPr>
                  <a:solidFill>
                    <a:schemeClr val="accent2"/>
                  </a:solidFill>
                  <a:ln>
                    <a:noFill/>
                  </a:ln>
                  <a:effectLst/>
                </c:spPr>
                <c:invertIfNegative val="0"/>
                <c:cat>
                  <c:strRef>
                    <c:extLst>
                      <c:ext uri="{02D57815-91ED-43cb-92C2-25804820EDAC}">
                        <c15:formulaRef>
                          <c15:sqref>'Q9.'!$L$4:$L$23</c15:sqref>
                        </c15:formulaRef>
                      </c:ext>
                    </c:extLst>
                    <c:strCache>
                      <c:ptCount val="20"/>
                      <c:pt idx="0">
                        <c:v>Beats Studio 3</c:v>
                      </c:pt>
                      <c:pt idx="1">
                        <c:v>Jbl Tune 500</c:v>
                      </c:pt>
                      <c:pt idx="2">
                        <c:v>Sony Wh-1000Xm5</c:v>
                      </c:pt>
                      <c:pt idx="3">
                        <c:v>Bose Quietcomfort 45</c:v>
                      </c:pt>
                      <c:pt idx="4">
                        <c:v>Dell Inspiron 15</c:v>
                      </c:pt>
                      <c:pt idx="5">
                        <c:v>Samsung Galaxy S23</c:v>
                      </c:pt>
                      <c:pt idx="6">
                        <c:v>Sony Alpha 7C</c:v>
                      </c:pt>
                      <c:pt idx="7">
                        <c:v>Tcl 43 Led</c:v>
                      </c:pt>
                      <c:pt idx="8">
                        <c:v>Sony Bravia 60</c:v>
                      </c:pt>
                      <c:pt idx="9">
                        <c:v>Nikon D3500</c:v>
                      </c:pt>
                      <c:pt idx="10">
                        <c:v>Macbook Air M2</c:v>
                      </c:pt>
                      <c:pt idx="11">
                        <c:v>Gopro Hero 11</c:v>
                      </c:pt>
                      <c:pt idx="12">
                        <c:v>Hp Pavilion 14</c:v>
                      </c:pt>
                      <c:pt idx="13">
                        <c:v>Tecno Spark 11</c:v>
                      </c:pt>
                      <c:pt idx="14">
                        <c:v>Lg 55 Oled</c:v>
                      </c:pt>
                      <c:pt idx="15">
                        <c:v>Lenovo Ideapad 3</c:v>
                      </c:pt>
                      <c:pt idx="16">
                        <c:v>Infinix Zero 5</c:v>
                      </c:pt>
                      <c:pt idx="17">
                        <c:v>Samsung 50 Led</c:v>
                      </c:pt>
                      <c:pt idx="18">
                        <c:v>Iphone 15</c:v>
                      </c:pt>
                      <c:pt idx="19">
                        <c:v>Canon Eos R10</c:v>
                      </c:pt>
                    </c:strCache>
                  </c:strRef>
                </c:cat>
                <c:val>
                  <c:numRef>
                    <c:extLst>
                      <c:ext uri="{02D57815-91ED-43cb-92C2-25804820EDAC}">
                        <c15:formulaRef>
                          <c15:sqref>'Q9.'!$N$4:$N$23</c15:sqref>
                        </c15:formulaRef>
                      </c:ext>
                    </c:extLst>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6349-4308-9E6D-A6D9A57608D8}"/>
                  </c:ext>
                </c:extLst>
              </c15:ser>
            </c15:filteredBarSeries>
          </c:ext>
        </c:extLst>
      </c:barChart>
      <c:catAx>
        <c:axId val="656782224"/>
        <c:scaling>
          <c:orientation val="minMax"/>
        </c:scaling>
        <c:delete val="0"/>
        <c:axPos val="b"/>
        <c:title>
          <c:tx>
            <c:strRef>
              <c:f>Table3[[#Headers],[Product_Names]]</c:f>
              <c:strCache>
                <c:ptCount val="1"/>
                <c:pt idx="0">
                  <c:v>Product_Names</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56761008"/>
        <c:crosses val="autoZero"/>
        <c:auto val="1"/>
        <c:lblAlgn val="ctr"/>
        <c:lblOffset val="100"/>
        <c:noMultiLvlLbl val="0"/>
      </c:catAx>
      <c:valAx>
        <c:axId val="6567610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Total_Sales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567822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12</xdr:col>
      <xdr:colOff>76200</xdr:colOff>
      <xdr:row>1</xdr:row>
      <xdr:rowOff>76200</xdr:rowOff>
    </xdr:from>
    <xdr:to>
      <xdr:col>15</xdr:col>
      <xdr:colOff>76200</xdr:colOff>
      <xdr:row>10</xdr:row>
      <xdr:rowOff>85725</xdr:rowOff>
    </xdr:to>
    <mc:AlternateContent xmlns:mc="http://schemas.openxmlformats.org/markup-compatibility/2006" xmlns:a14="http://schemas.microsoft.com/office/drawing/2010/main">
      <mc:Choice Requires="a14">
        <xdr:graphicFrame macro="">
          <xdr:nvGraphicFramePr>
            <xdr:cNvPr id="2" name="Shop_Name">
              <a:extLst>
                <a:ext uri="{FF2B5EF4-FFF2-40B4-BE49-F238E27FC236}">
                  <a16:creationId xmlns:a16="http://schemas.microsoft.com/office/drawing/2014/main" id="{8511CEDA-C013-45A2-9238-091E2C6DE795}"/>
                </a:ext>
              </a:extLst>
            </xdr:cNvPr>
            <xdr:cNvGraphicFramePr/>
          </xdr:nvGraphicFramePr>
          <xdr:xfrm>
            <a:off x="0" y="0"/>
            <a:ext cx="0" cy="0"/>
          </xdr:xfrm>
          <a:graphic>
            <a:graphicData uri="http://schemas.microsoft.com/office/drawing/2010/slicer">
              <sle:slicer xmlns:sle="http://schemas.microsoft.com/office/drawing/2010/slicer" name="Shop_Name"/>
            </a:graphicData>
          </a:graphic>
        </xdr:graphicFrame>
      </mc:Choice>
      <mc:Fallback xmlns="">
        <xdr:sp macro="" textlink="">
          <xdr:nvSpPr>
            <xdr:cNvPr id="0" name=""/>
            <xdr:cNvSpPr>
              <a:spLocks noTextEdit="1"/>
            </xdr:cNvSpPr>
          </xdr:nvSpPr>
          <xdr:spPr>
            <a:xfrm>
              <a:off x="8905875" y="266700"/>
              <a:ext cx="1828800" cy="17240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228600</xdr:colOff>
      <xdr:row>1</xdr:row>
      <xdr:rowOff>123824</xdr:rowOff>
    </xdr:from>
    <xdr:to>
      <xdr:col>10</xdr:col>
      <xdr:colOff>400050</xdr:colOff>
      <xdr:row>17</xdr:row>
      <xdr:rowOff>171449</xdr:rowOff>
    </xdr:to>
    <xdr:graphicFrame macro="">
      <xdr:nvGraphicFramePr>
        <xdr:cNvPr id="3" name="Chart 2">
          <a:extLst>
            <a:ext uri="{FF2B5EF4-FFF2-40B4-BE49-F238E27FC236}">
              <a16:creationId xmlns:a16="http://schemas.microsoft.com/office/drawing/2014/main" id="{4DE32400-0997-4480-BD5D-E0706FBDA8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352424</xdr:colOff>
      <xdr:row>0</xdr:row>
      <xdr:rowOff>190499</xdr:rowOff>
    </xdr:from>
    <xdr:to>
      <xdr:col>13</xdr:col>
      <xdr:colOff>495299</xdr:colOff>
      <xdr:row>16</xdr:row>
      <xdr:rowOff>66674</xdr:rowOff>
    </xdr:to>
    <xdr:graphicFrame macro="">
      <xdr:nvGraphicFramePr>
        <xdr:cNvPr id="2" name="Chart 1">
          <a:extLst>
            <a:ext uri="{FF2B5EF4-FFF2-40B4-BE49-F238E27FC236}">
              <a16:creationId xmlns:a16="http://schemas.microsoft.com/office/drawing/2014/main" id="{146A6F91-A1E7-471C-85CA-469BCE946F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485775</xdr:colOff>
      <xdr:row>17</xdr:row>
      <xdr:rowOff>38099</xdr:rowOff>
    </xdr:from>
    <xdr:to>
      <xdr:col>6</xdr:col>
      <xdr:colOff>752475</xdr:colOff>
      <xdr:row>34</xdr:row>
      <xdr:rowOff>9524</xdr:rowOff>
    </xdr:to>
    <xdr:graphicFrame macro="">
      <xdr:nvGraphicFramePr>
        <xdr:cNvPr id="3" name="Chart 2">
          <a:extLst>
            <a:ext uri="{FF2B5EF4-FFF2-40B4-BE49-F238E27FC236}">
              <a16:creationId xmlns:a16="http://schemas.microsoft.com/office/drawing/2014/main" id="{576D2C04-7428-40AC-8B30-162449DE08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1000124</xdr:colOff>
      <xdr:row>15</xdr:row>
      <xdr:rowOff>38099</xdr:rowOff>
    </xdr:from>
    <xdr:to>
      <xdr:col>7</xdr:col>
      <xdr:colOff>333375</xdr:colOff>
      <xdr:row>32</xdr:row>
      <xdr:rowOff>47625</xdr:rowOff>
    </xdr:to>
    <xdr:graphicFrame macro="">
      <xdr:nvGraphicFramePr>
        <xdr:cNvPr id="2" name="Chart 1">
          <a:extLst>
            <a:ext uri="{FF2B5EF4-FFF2-40B4-BE49-F238E27FC236}">
              <a16:creationId xmlns:a16="http://schemas.microsoft.com/office/drawing/2014/main" id="{1D69B046-5CCD-4E84-8B67-4E79BBF243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266700</xdr:colOff>
      <xdr:row>2</xdr:row>
      <xdr:rowOff>19050</xdr:rowOff>
    </xdr:from>
    <xdr:to>
      <xdr:col>6</xdr:col>
      <xdr:colOff>647700</xdr:colOff>
      <xdr:row>16</xdr:row>
      <xdr:rowOff>95250</xdr:rowOff>
    </xdr:to>
    <xdr:graphicFrame macro="">
      <xdr:nvGraphicFramePr>
        <xdr:cNvPr id="2" name="Chart 1">
          <a:extLst>
            <a:ext uri="{FF2B5EF4-FFF2-40B4-BE49-F238E27FC236}">
              <a16:creationId xmlns:a16="http://schemas.microsoft.com/office/drawing/2014/main" id="{C1A5F2C0-1233-4930-93DB-8A929B8EBF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285750</xdr:colOff>
      <xdr:row>2</xdr:row>
      <xdr:rowOff>28574</xdr:rowOff>
    </xdr:from>
    <xdr:to>
      <xdr:col>15</xdr:col>
      <xdr:colOff>209550</xdr:colOff>
      <xdr:row>17</xdr:row>
      <xdr:rowOff>133349</xdr:rowOff>
    </xdr:to>
    <xdr:graphicFrame macro="">
      <xdr:nvGraphicFramePr>
        <xdr:cNvPr id="2" name="Chart 1">
          <a:extLst>
            <a:ext uri="{FF2B5EF4-FFF2-40B4-BE49-F238E27FC236}">
              <a16:creationId xmlns:a16="http://schemas.microsoft.com/office/drawing/2014/main" id="{EA0CEBCF-C075-412A-841D-858C97BF68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171450</xdr:colOff>
      <xdr:row>1</xdr:row>
      <xdr:rowOff>171450</xdr:rowOff>
    </xdr:from>
    <xdr:to>
      <xdr:col>18</xdr:col>
      <xdr:colOff>171450</xdr:colOff>
      <xdr:row>10</xdr:row>
      <xdr:rowOff>161925</xdr:rowOff>
    </xdr:to>
    <mc:AlternateContent xmlns:mc="http://schemas.openxmlformats.org/markup-compatibility/2006" xmlns:a14="http://schemas.microsoft.com/office/drawing/2010/main">
      <mc:Choice Requires="a14">
        <xdr:graphicFrame macro="">
          <xdr:nvGraphicFramePr>
            <xdr:cNvPr id="5" name="Shop_Name 1">
              <a:extLst>
                <a:ext uri="{FF2B5EF4-FFF2-40B4-BE49-F238E27FC236}">
                  <a16:creationId xmlns:a16="http://schemas.microsoft.com/office/drawing/2014/main" id="{87053F82-358D-4F8E-BB79-7436ABF2054A}"/>
                </a:ext>
              </a:extLst>
            </xdr:cNvPr>
            <xdr:cNvGraphicFramePr/>
          </xdr:nvGraphicFramePr>
          <xdr:xfrm>
            <a:off x="0" y="0"/>
            <a:ext cx="0" cy="0"/>
          </xdr:xfrm>
          <a:graphic>
            <a:graphicData uri="http://schemas.microsoft.com/office/drawing/2010/slicer">
              <sle:slicer xmlns:sle="http://schemas.microsoft.com/office/drawing/2010/slicer" name="Shop_Name 1"/>
            </a:graphicData>
          </a:graphic>
        </xdr:graphicFrame>
      </mc:Choice>
      <mc:Fallback xmlns="">
        <xdr:sp macro="" textlink="">
          <xdr:nvSpPr>
            <xdr:cNvPr id="0" name=""/>
            <xdr:cNvSpPr>
              <a:spLocks noTextEdit="1"/>
            </xdr:cNvSpPr>
          </xdr:nvSpPr>
          <xdr:spPr>
            <a:xfrm>
              <a:off x="10848975" y="361950"/>
              <a:ext cx="1828800" cy="1704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5</xdr:col>
      <xdr:colOff>100011</xdr:colOff>
      <xdr:row>1</xdr:row>
      <xdr:rowOff>133350</xdr:rowOff>
    </xdr:from>
    <xdr:to>
      <xdr:col>15</xdr:col>
      <xdr:colOff>295274</xdr:colOff>
      <xdr:row>17</xdr:row>
      <xdr:rowOff>76200</xdr:rowOff>
    </xdr:to>
    <xdr:graphicFrame macro="">
      <xdr:nvGraphicFramePr>
        <xdr:cNvPr id="2" name="Chart 1">
          <a:extLst>
            <a:ext uri="{FF2B5EF4-FFF2-40B4-BE49-F238E27FC236}">
              <a16:creationId xmlns:a16="http://schemas.microsoft.com/office/drawing/2014/main" id="{82EE0B1E-222F-4AF1-959B-82E2D2054E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238124</xdr:colOff>
      <xdr:row>2</xdr:row>
      <xdr:rowOff>9524</xdr:rowOff>
    </xdr:from>
    <xdr:to>
      <xdr:col>15</xdr:col>
      <xdr:colOff>95250</xdr:colOff>
      <xdr:row>17</xdr:row>
      <xdr:rowOff>95249</xdr:rowOff>
    </xdr:to>
    <xdr:graphicFrame macro="">
      <xdr:nvGraphicFramePr>
        <xdr:cNvPr id="2" name="Chart 1">
          <a:extLst>
            <a:ext uri="{FF2B5EF4-FFF2-40B4-BE49-F238E27FC236}">
              <a16:creationId xmlns:a16="http://schemas.microsoft.com/office/drawing/2014/main" id="{6D257E32-02C3-43FE-AF93-0D9F91221C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14</xdr:col>
      <xdr:colOff>219074</xdr:colOff>
      <xdr:row>2</xdr:row>
      <xdr:rowOff>85725</xdr:rowOff>
    </xdr:from>
    <xdr:to>
      <xdr:col>23</xdr:col>
      <xdr:colOff>571499</xdr:colOff>
      <xdr:row>17</xdr:row>
      <xdr:rowOff>123825</xdr:rowOff>
    </xdr:to>
    <xdr:graphicFrame macro="">
      <xdr:nvGraphicFramePr>
        <xdr:cNvPr id="2" name="Chart 1">
          <a:extLst>
            <a:ext uri="{FF2B5EF4-FFF2-40B4-BE49-F238E27FC236}">
              <a16:creationId xmlns:a16="http://schemas.microsoft.com/office/drawing/2014/main" id="{B4F2DBB2-0334-4BE5-8E71-E894935093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ed Billow" refreshedDate="46037.709943634261" createdVersion="7" refreshedVersion="7" minRefreshableVersion="3" recordCount="1200" xr:uid="{360FD640-04FA-432D-9676-8E6E52AC3227}">
  <cacheSource type="worksheet">
    <worksheetSource name="Sales_Data_table"/>
  </cacheSource>
  <cacheFields count="14">
    <cacheField name="Shop_ID" numFmtId="1">
      <sharedItems containsSemiMixedTypes="0" containsString="0" containsNumber="1" containsInteger="1" minValue="1" maxValue="5"/>
    </cacheField>
    <cacheField name="Shop_Name" numFmtId="0">
      <sharedItems count="5">
        <s v="Nairobi Hub"/>
        <s v="Coast Mart"/>
        <s v="Lakeview Store"/>
        <s v="Rift Valley Tech"/>
        <s v="Highland Electronics"/>
      </sharedItems>
    </cacheField>
    <cacheField name="Town" numFmtId="0">
      <sharedItems count="5">
        <s v="Nairobi"/>
        <s v="Mombasa"/>
        <s v="Kisumu"/>
        <s v="Nakuru"/>
        <s v="Eldoret"/>
      </sharedItems>
    </cacheField>
    <cacheField name="Attendant_Name" numFmtId="0">
      <sharedItems count="10">
        <s v="John Mwangi"/>
        <s v="Mary Wanjiku"/>
        <s v="Ali Omar"/>
        <s v="Amina Hassan"/>
        <s v="Lucy Auma"/>
        <s v="Peter Ochieng"/>
        <s v="James Kiptoo"/>
        <s v="Faith Njeri"/>
        <s v="David Kiplagat"/>
        <s v="Grace Chebet"/>
      </sharedItems>
    </cacheField>
    <cacheField name="Month" numFmtId="0">
      <sharedItems count="12">
        <s v="Jan"/>
        <s v="Feb"/>
        <s v="Mar"/>
        <s v="Apr"/>
        <s v="May"/>
        <s v="Jun"/>
        <s v="Jul"/>
        <s v="Aug"/>
        <s v="Sep"/>
        <s v="Oct"/>
        <s v="Nov"/>
        <s v="Dec"/>
      </sharedItems>
    </cacheField>
    <cacheField name="Product_Category" numFmtId="0">
      <sharedItems count="5">
        <s v="Smartphone"/>
        <s v="Laptop"/>
        <s v="TV"/>
        <s v="Headphones"/>
        <s v="Camera"/>
      </sharedItems>
    </cacheField>
    <cacheField name="Product_Name" numFmtId="0">
      <sharedItems count="20">
        <s v="Samsung Galaxy S23"/>
        <s v="Iphone 15"/>
        <s v="Tecno Spark 11"/>
        <s v="Infinix Zero 5"/>
        <s v="Dell Inspiron 15"/>
        <s v="Hp Pavilion 14"/>
        <s v="Macbook Air M2"/>
        <s v="Lenovo Ideapad 3"/>
        <s v="Lg 55 Oled"/>
        <s v="Samsung 50 Led"/>
        <s v="Sony Bravia 60"/>
        <s v="Tcl 43 Led"/>
        <s v="Sony Wh-1000Xm5"/>
        <s v="Beats Studio 3"/>
        <s v="Jbl Tune 500"/>
        <s v="Bose Quietcomfort 45"/>
        <s v="Canon Eos R10"/>
        <s v="Nikon D3500"/>
        <s v="Sony Alpha 7C"/>
        <s v="Gopro Hero 11"/>
      </sharedItems>
    </cacheField>
    <cacheField name="Units_Sold" numFmtId="1">
      <sharedItems containsSemiMixedTypes="0" containsString="0" containsNumber="1" containsInteger="1" minValue="1" maxValue="19"/>
    </cacheField>
    <cacheField name="Unit_Price_KES" numFmtId="164">
      <sharedItems containsSemiMixedTypes="0" containsString="0" containsNumber="1" containsInteger="1" minValue="5022" maxValue="149940"/>
    </cacheField>
    <cacheField name="Total_Sales_KES" numFmtId="164">
      <sharedItems containsSemiMixedTypes="0" containsString="0" containsNumber="1" containsInteger="1" minValue="6012" maxValue="2816066"/>
    </cacheField>
    <cacheField name="Total_Expenses_KES" numFmtId="164">
      <sharedItems containsSemiMixedTypes="0" containsString="0" containsNumber="1" containsInteger="1" minValue="3894" maxValue="1822478"/>
    </cacheField>
    <cacheField name="Profit_Margin" numFmtId="164">
      <sharedItems containsSemiMixedTypes="0" containsString="0" containsNumber="1" containsInteger="1" minValue="2118" maxValue="1640570"/>
    </cacheField>
    <cacheField name="Inventory_Left" numFmtId="1">
      <sharedItems containsSemiMixedTypes="0" containsString="0" containsNumber="1" containsInteger="1" minValue="0" maxValue="14"/>
    </cacheField>
    <cacheField name="Efficiency" numFmtId="0" formula="Total_Expenses_KES/Total_Sales_KES" databaseField="0"/>
  </cacheFields>
  <extLst>
    <ext xmlns:x14="http://schemas.microsoft.com/office/spreadsheetml/2009/9/main" uri="{725AE2AE-9491-48be-B2B4-4EB974FC3084}">
      <x14:pivotCacheDefinition pivotCacheId="19883603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
    <x v="0"/>
    <x v="0"/>
    <x v="0"/>
    <x v="0"/>
    <x v="0"/>
    <x v="0"/>
    <n v="7"/>
    <n v="35795"/>
    <n v="250565"/>
    <n v="171690"/>
    <n v="78875"/>
    <n v="10"/>
  </r>
  <r>
    <n v="1"/>
    <x v="0"/>
    <x v="0"/>
    <x v="1"/>
    <x v="0"/>
    <x v="0"/>
    <x v="1"/>
    <n v="8"/>
    <n v="130268"/>
    <n v="1042144"/>
    <n v="603458"/>
    <n v="438686"/>
    <n v="9"/>
  </r>
  <r>
    <n v="1"/>
    <x v="0"/>
    <x v="0"/>
    <x v="1"/>
    <x v="0"/>
    <x v="0"/>
    <x v="2"/>
    <n v="19"/>
    <n v="148214"/>
    <n v="2816066"/>
    <n v="1175496"/>
    <n v="1640570"/>
    <n v="7"/>
  </r>
  <r>
    <n v="1"/>
    <x v="0"/>
    <x v="0"/>
    <x v="1"/>
    <x v="0"/>
    <x v="0"/>
    <x v="3"/>
    <n v="4"/>
    <n v="80263"/>
    <n v="321052"/>
    <n v="196619"/>
    <n v="124433"/>
    <n v="5"/>
  </r>
  <r>
    <n v="1"/>
    <x v="0"/>
    <x v="0"/>
    <x v="0"/>
    <x v="0"/>
    <x v="1"/>
    <x v="4"/>
    <n v="2"/>
    <n v="79735"/>
    <n v="159470"/>
    <n v="103612"/>
    <n v="55858"/>
    <n v="5"/>
  </r>
  <r>
    <n v="1"/>
    <x v="0"/>
    <x v="0"/>
    <x v="0"/>
    <x v="0"/>
    <x v="1"/>
    <x v="5"/>
    <n v="2"/>
    <n v="25311"/>
    <n v="50622"/>
    <n v="35317"/>
    <n v="15305"/>
    <n v="0"/>
  </r>
  <r>
    <n v="1"/>
    <x v="0"/>
    <x v="0"/>
    <x v="0"/>
    <x v="0"/>
    <x v="1"/>
    <x v="6"/>
    <n v="12"/>
    <n v="105305"/>
    <n v="1263660"/>
    <n v="704398"/>
    <n v="559262"/>
    <n v="11"/>
  </r>
  <r>
    <n v="1"/>
    <x v="0"/>
    <x v="0"/>
    <x v="1"/>
    <x v="0"/>
    <x v="1"/>
    <x v="7"/>
    <n v="17"/>
    <n v="126970"/>
    <n v="2158490"/>
    <n v="1259599"/>
    <n v="898891"/>
    <n v="9"/>
  </r>
  <r>
    <n v="1"/>
    <x v="0"/>
    <x v="0"/>
    <x v="0"/>
    <x v="0"/>
    <x v="2"/>
    <x v="8"/>
    <n v="16"/>
    <n v="79150"/>
    <n v="1266400"/>
    <n v="679830"/>
    <n v="586570"/>
    <n v="14"/>
  </r>
  <r>
    <n v="1"/>
    <x v="0"/>
    <x v="0"/>
    <x v="0"/>
    <x v="0"/>
    <x v="2"/>
    <x v="9"/>
    <n v="19"/>
    <n v="87435"/>
    <n v="1661265"/>
    <n v="920789"/>
    <n v="740476"/>
    <n v="8"/>
  </r>
  <r>
    <n v="1"/>
    <x v="0"/>
    <x v="0"/>
    <x v="0"/>
    <x v="0"/>
    <x v="2"/>
    <x v="10"/>
    <n v="3"/>
    <n v="89092"/>
    <n v="267276"/>
    <n v="155625"/>
    <n v="111651"/>
    <n v="4"/>
  </r>
  <r>
    <n v="1"/>
    <x v="0"/>
    <x v="0"/>
    <x v="1"/>
    <x v="0"/>
    <x v="2"/>
    <x v="11"/>
    <n v="9"/>
    <n v="100038"/>
    <n v="900342"/>
    <n v="363719"/>
    <n v="536623"/>
    <n v="8"/>
  </r>
  <r>
    <n v="1"/>
    <x v="0"/>
    <x v="0"/>
    <x v="1"/>
    <x v="0"/>
    <x v="3"/>
    <x v="12"/>
    <n v="14"/>
    <n v="13433"/>
    <n v="188062"/>
    <n v="96969"/>
    <n v="91093"/>
    <n v="9"/>
  </r>
  <r>
    <n v="1"/>
    <x v="0"/>
    <x v="0"/>
    <x v="1"/>
    <x v="0"/>
    <x v="3"/>
    <x v="13"/>
    <n v="2"/>
    <n v="14555"/>
    <n v="29110"/>
    <n v="13748"/>
    <n v="15362"/>
    <n v="11"/>
  </r>
  <r>
    <n v="1"/>
    <x v="0"/>
    <x v="0"/>
    <x v="0"/>
    <x v="0"/>
    <x v="3"/>
    <x v="14"/>
    <n v="7"/>
    <n v="15748"/>
    <n v="110236"/>
    <n v="71648"/>
    <n v="38588"/>
    <n v="2"/>
  </r>
  <r>
    <n v="1"/>
    <x v="0"/>
    <x v="0"/>
    <x v="1"/>
    <x v="0"/>
    <x v="3"/>
    <x v="15"/>
    <n v="14"/>
    <n v="8152"/>
    <n v="114128"/>
    <n v="54511"/>
    <n v="59617"/>
    <n v="7"/>
  </r>
  <r>
    <n v="1"/>
    <x v="0"/>
    <x v="0"/>
    <x v="1"/>
    <x v="0"/>
    <x v="4"/>
    <x v="16"/>
    <n v="4"/>
    <n v="39457"/>
    <n v="157828"/>
    <n v="83261"/>
    <n v="74567"/>
    <n v="5"/>
  </r>
  <r>
    <n v="1"/>
    <x v="0"/>
    <x v="0"/>
    <x v="1"/>
    <x v="0"/>
    <x v="4"/>
    <x v="17"/>
    <n v="10"/>
    <n v="72995"/>
    <n v="729950"/>
    <n v="332460"/>
    <n v="397490"/>
    <n v="14"/>
  </r>
  <r>
    <n v="1"/>
    <x v="0"/>
    <x v="0"/>
    <x v="1"/>
    <x v="0"/>
    <x v="4"/>
    <x v="18"/>
    <n v="18"/>
    <n v="92409"/>
    <n v="1663362"/>
    <n v="889775"/>
    <n v="773587"/>
    <n v="9"/>
  </r>
  <r>
    <n v="1"/>
    <x v="0"/>
    <x v="0"/>
    <x v="1"/>
    <x v="0"/>
    <x v="4"/>
    <x v="19"/>
    <n v="4"/>
    <n v="149293"/>
    <n v="597172"/>
    <n v="369160"/>
    <n v="228012"/>
    <n v="14"/>
  </r>
  <r>
    <n v="1"/>
    <x v="0"/>
    <x v="0"/>
    <x v="0"/>
    <x v="1"/>
    <x v="0"/>
    <x v="0"/>
    <n v="8"/>
    <n v="60397"/>
    <n v="483176"/>
    <n v="221678"/>
    <n v="261498"/>
    <n v="8"/>
  </r>
  <r>
    <n v="1"/>
    <x v="0"/>
    <x v="0"/>
    <x v="0"/>
    <x v="1"/>
    <x v="0"/>
    <x v="1"/>
    <n v="8"/>
    <n v="109812"/>
    <n v="878496"/>
    <n v="453833"/>
    <n v="424663"/>
    <n v="1"/>
  </r>
  <r>
    <n v="1"/>
    <x v="0"/>
    <x v="0"/>
    <x v="1"/>
    <x v="1"/>
    <x v="0"/>
    <x v="2"/>
    <n v="15"/>
    <n v="29268"/>
    <n v="439020"/>
    <n v="252886"/>
    <n v="186134"/>
    <n v="8"/>
  </r>
  <r>
    <n v="1"/>
    <x v="0"/>
    <x v="0"/>
    <x v="0"/>
    <x v="1"/>
    <x v="0"/>
    <x v="3"/>
    <n v="13"/>
    <n v="125512"/>
    <n v="1631656"/>
    <n v="797687"/>
    <n v="833969"/>
    <n v="12"/>
  </r>
  <r>
    <n v="1"/>
    <x v="0"/>
    <x v="0"/>
    <x v="1"/>
    <x v="1"/>
    <x v="1"/>
    <x v="4"/>
    <n v="1"/>
    <n v="68984"/>
    <n v="68984"/>
    <n v="48017"/>
    <n v="20967"/>
    <n v="7"/>
  </r>
  <r>
    <n v="1"/>
    <x v="0"/>
    <x v="0"/>
    <x v="1"/>
    <x v="1"/>
    <x v="1"/>
    <x v="5"/>
    <n v="1"/>
    <n v="87563"/>
    <n v="87563"/>
    <n v="42734"/>
    <n v="44829"/>
    <n v="14"/>
  </r>
  <r>
    <n v="1"/>
    <x v="0"/>
    <x v="0"/>
    <x v="1"/>
    <x v="1"/>
    <x v="1"/>
    <x v="6"/>
    <n v="11"/>
    <n v="107538"/>
    <n v="1182918"/>
    <n v="724013"/>
    <n v="458905"/>
    <n v="2"/>
  </r>
  <r>
    <n v="1"/>
    <x v="0"/>
    <x v="0"/>
    <x v="1"/>
    <x v="1"/>
    <x v="1"/>
    <x v="7"/>
    <n v="3"/>
    <n v="149312"/>
    <n v="447936"/>
    <n v="260603"/>
    <n v="187333"/>
    <n v="9"/>
  </r>
  <r>
    <n v="1"/>
    <x v="0"/>
    <x v="0"/>
    <x v="1"/>
    <x v="1"/>
    <x v="2"/>
    <x v="8"/>
    <n v="7"/>
    <n v="84505"/>
    <n v="591535"/>
    <n v="257176"/>
    <n v="334359"/>
    <n v="6"/>
  </r>
  <r>
    <n v="1"/>
    <x v="0"/>
    <x v="0"/>
    <x v="0"/>
    <x v="1"/>
    <x v="2"/>
    <x v="9"/>
    <n v="9"/>
    <n v="50535"/>
    <n v="454815"/>
    <n v="243251"/>
    <n v="211564"/>
    <n v="0"/>
  </r>
  <r>
    <n v="1"/>
    <x v="0"/>
    <x v="0"/>
    <x v="0"/>
    <x v="1"/>
    <x v="2"/>
    <x v="10"/>
    <n v="16"/>
    <n v="147478"/>
    <n v="2359648"/>
    <n v="1164001"/>
    <n v="1195647"/>
    <n v="7"/>
  </r>
  <r>
    <n v="1"/>
    <x v="0"/>
    <x v="0"/>
    <x v="1"/>
    <x v="1"/>
    <x v="2"/>
    <x v="11"/>
    <n v="5"/>
    <n v="116354"/>
    <n v="581770"/>
    <n v="335907"/>
    <n v="245863"/>
    <n v="5"/>
  </r>
  <r>
    <n v="1"/>
    <x v="0"/>
    <x v="0"/>
    <x v="1"/>
    <x v="1"/>
    <x v="3"/>
    <x v="12"/>
    <n v="3"/>
    <n v="10056"/>
    <n v="30168"/>
    <n v="15532"/>
    <n v="14636"/>
    <n v="14"/>
  </r>
  <r>
    <n v="1"/>
    <x v="0"/>
    <x v="0"/>
    <x v="1"/>
    <x v="1"/>
    <x v="3"/>
    <x v="13"/>
    <n v="14"/>
    <n v="15882"/>
    <n v="222348"/>
    <n v="139686"/>
    <n v="82662"/>
    <n v="9"/>
  </r>
  <r>
    <n v="1"/>
    <x v="0"/>
    <x v="0"/>
    <x v="1"/>
    <x v="1"/>
    <x v="3"/>
    <x v="14"/>
    <n v="14"/>
    <n v="14062"/>
    <n v="196868"/>
    <n v="81135"/>
    <n v="115733"/>
    <n v="14"/>
  </r>
  <r>
    <n v="1"/>
    <x v="0"/>
    <x v="0"/>
    <x v="0"/>
    <x v="1"/>
    <x v="3"/>
    <x v="15"/>
    <n v="15"/>
    <n v="10977"/>
    <n v="164655"/>
    <n v="67117"/>
    <n v="97538"/>
    <n v="12"/>
  </r>
  <r>
    <n v="1"/>
    <x v="0"/>
    <x v="0"/>
    <x v="1"/>
    <x v="1"/>
    <x v="4"/>
    <x v="16"/>
    <n v="19"/>
    <n v="134238"/>
    <n v="2550522"/>
    <n v="1705608"/>
    <n v="844914"/>
    <n v="0"/>
  </r>
  <r>
    <n v="1"/>
    <x v="0"/>
    <x v="0"/>
    <x v="1"/>
    <x v="1"/>
    <x v="4"/>
    <x v="17"/>
    <n v="4"/>
    <n v="38141"/>
    <n v="152564"/>
    <n v="67402"/>
    <n v="85162"/>
    <n v="6"/>
  </r>
  <r>
    <n v="1"/>
    <x v="0"/>
    <x v="0"/>
    <x v="0"/>
    <x v="1"/>
    <x v="4"/>
    <x v="18"/>
    <n v="13"/>
    <n v="87214"/>
    <n v="1133782"/>
    <n v="710501"/>
    <n v="423281"/>
    <n v="3"/>
  </r>
  <r>
    <n v="1"/>
    <x v="0"/>
    <x v="0"/>
    <x v="1"/>
    <x v="1"/>
    <x v="4"/>
    <x v="19"/>
    <n v="13"/>
    <n v="82623"/>
    <n v="1074099"/>
    <n v="622611"/>
    <n v="451488"/>
    <n v="2"/>
  </r>
  <r>
    <n v="1"/>
    <x v="0"/>
    <x v="0"/>
    <x v="0"/>
    <x v="2"/>
    <x v="0"/>
    <x v="0"/>
    <n v="2"/>
    <n v="129225"/>
    <n v="258450"/>
    <n v="166037"/>
    <n v="92413"/>
    <n v="8"/>
  </r>
  <r>
    <n v="1"/>
    <x v="0"/>
    <x v="0"/>
    <x v="0"/>
    <x v="2"/>
    <x v="0"/>
    <x v="1"/>
    <n v="6"/>
    <n v="115003"/>
    <n v="690018"/>
    <n v="442371"/>
    <n v="247647"/>
    <n v="11"/>
  </r>
  <r>
    <n v="1"/>
    <x v="0"/>
    <x v="0"/>
    <x v="0"/>
    <x v="2"/>
    <x v="0"/>
    <x v="2"/>
    <n v="11"/>
    <n v="38047"/>
    <n v="418517"/>
    <n v="268785"/>
    <n v="149732"/>
    <n v="11"/>
  </r>
  <r>
    <n v="1"/>
    <x v="0"/>
    <x v="0"/>
    <x v="1"/>
    <x v="2"/>
    <x v="0"/>
    <x v="3"/>
    <n v="7"/>
    <n v="145117"/>
    <n v="1015819"/>
    <n v="439865"/>
    <n v="575954"/>
    <n v="8"/>
  </r>
  <r>
    <n v="1"/>
    <x v="0"/>
    <x v="0"/>
    <x v="1"/>
    <x v="2"/>
    <x v="1"/>
    <x v="4"/>
    <n v="13"/>
    <n v="75016"/>
    <n v="975208"/>
    <n v="479250"/>
    <n v="495958"/>
    <n v="5"/>
  </r>
  <r>
    <n v="1"/>
    <x v="0"/>
    <x v="0"/>
    <x v="1"/>
    <x v="2"/>
    <x v="1"/>
    <x v="5"/>
    <n v="8"/>
    <n v="25530"/>
    <n v="204240"/>
    <n v="107271"/>
    <n v="96969"/>
    <n v="4"/>
  </r>
  <r>
    <n v="1"/>
    <x v="0"/>
    <x v="0"/>
    <x v="1"/>
    <x v="2"/>
    <x v="1"/>
    <x v="6"/>
    <n v="1"/>
    <n v="118098"/>
    <n v="118098"/>
    <n v="56784"/>
    <n v="61314"/>
    <n v="7"/>
  </r>
  <r>
    <n v="1"/>
    <x v="0"/>
    <x v="0"/>
    <x v="1"/>
    <x v="2"/>
    <x v="1"/>
    <x v="7"/>
    <n v="15"/>
    <n v="93530"/>
    <n v="1402950"/>
    <n v="697211"/>
    <n v="705739"/>
    <n v="7"/>
  </r>
  <r>
    <n v="1"/>
    <x v="0"/>
    <x v="0"/>
    <x v="0"/>
    <x v="2"/>
    <x v="2"/>
    <x v="8"/>
    <n v="9"/>
    <n v="138451"/>
    <n v="1246059"/>
    <n v="634354"/>
    <n v="611705"/>
    <n v="0"/>
  </r>
  <r>
    <n v="1"/>
    <x v="0"/>
    <x v="0"/>
    <x v="1"/>
    <x v="2"/>
    <x v="2"/>
    <x v="9"/>
    <n v="12"/>
    <n v="72733"/>
    <n v="872796"/>
    <n v="531437"/>
    <n v="341359"/>
    <n v="2"/>
  </r>
  <r>
    <n v="1"/>
    <x v="0"/>
    <x v="0"/>
    <x v="0"/>
    <x v="2"/>
    <x v="2"/>
    <x v="10"/>
    <n v="17"/>
    <n v="87172"/>
    <n v="1481924"/>
    <n v="719403"/>
    <n v="762521"/>
    <n v="0"/>
  </r>
  <r>
    <n v="1"/>
    <x v="0"/>
    <x v="0"/>
    <x v="1"/>
    <x v="2"/>
    <x v="2"/>
    <x v="11"/>
    <n v="17"/>
    <n v="114209"/>
    <n v="1941553"/>
    <n v="1069414"/>
    <n v="872139"/>
    <n v="5"/>
  </r>
  <r>
    <n v="1"/>
    <x v="0"/>
    <x v="0"/>
    <x v="1"/>
    <x v="2"/>
    <x v="3"/>
    <x v="12"/>
    <n v="5"/>
    <n v="10855"/>
    <n v="54275"/>
    <n v="36498"/>
    <n v="17777"/>
    <n v="2"/>
  </r>
  <r>
    <n v="1"/>
    <x v="0"/>
    <x v="0"/>
    <x v="1"/>
    <x v="2"/>
    <x v="3"/>
    <x v="13"/>
    <n v="2"/>
    <n v="10172"/>
    <n v="20344"/>
    <n v="11124"/>
    <n v="9220"/>
    <n v="5"/>
  </r>
  <r>
    <n v="1"/>
    <x v="0"/>
    <x v="0"/>
    <x v="0"/>
    <x v="2"/>
    <x v="3"/>
    <x v="14"/>
    <n v="4"/>
    <n v="8510"/>
    <n v="34040"/>
    <n v="21393"/>
    <n v="12647"/>
    <n v="10"/>
  </r>
  <r>
    <n v="1"/>
    <x v="0"/>
    <x v="0"/>
    <x v="1"/>
    <x v="2"/>
    <x v="3"/>
    <x v="15"/>
    <n v="17"/>
    <n v="13958"/>
    <n v="237286"/>
    <n v="152086"/>
    <n v="85200"/>
    <n v="4"/>
  </r>
  <r>
    <n v="1"/>
    <x v="0"/>
    <x v="0"/>
    <x v="0"/>
    <x v="2"/>
    <x v="4"/>
    <x v="16"/>
    <n v="2"/>
    <n v="85733"/>
    <n v="171466"/>
    <n v="89101"/>
    <n v="82365"/>
    <n v="14"/>
  </r>
  <r>
    <n v="1"/>
    <x v="0"/>
    <x v="0"/>
    <x v="0"/>
    <x v="2"/>
    <x v="4"/>
    <x v="17"/>
    <n v="16"/>
    <n v="42671"/>
    <n v="682736"/>
    <n v="444181"/>
    <n v="238555"/>
    <n v="11"/>
  </r>
  <r>
    <n v="1"/>
    <x v="0"/>
    <x v="0"/>
    <x v="0"/>
    <x v="2"/>
    <x v="4"/>
    <x v="18"/>
    <n v="6"/>
    <n v="71663"/>
    <n v="429978"/>
    <n v="177250"/>
    <n v="252728"/>
    <n v="3"/>
  </r>
  <r>
    <n v="1"/>
    <x v="0"/>
    <x v="0"/>
    <x v="1"/>
    <x v="2"/>
    <x v="4"/>
    <x v="19"/>
    <n v="4"/>
    <n v="92082"/>
    <n v="368328"/>
    <n v="225912"/>
    <n v="142416"/>
    <n v="14"/>
  </r>
  <r>
    <n v="1"/>
    <x v="0"/>
    <x v="0"/>
    <x v="0"/>
    <x v="3"/>
    <x v="0"/>
    <x v="0"/>
    <n v="19"/>
    <n v="31411"/>
    <n v="596809"/>
    <n v="354237"/>
    <n v="242572"/>
    <n v="3"/>
  </r>
  <r>
    <n v="1"/>
    <x v="0"/>
    <x v="0"/>
    <x v="0"/>
    <x v="3"/>
    <x v="0"/>
    <x v="1"/>
    <n v="9"/>
    <n v="104896"/>
    <n v="944064"/>
    <n v="490225"/>
    <n v="453839"/>
    <n v="6"/>
  </r>
  <r>
    <n v="1"/>
    <x v="0"/>
    <x v="0"/>
    <x v="1"/>
    <x v="3"/>
    <x v="0"/>
    <x v="2"/>
    <n v="18"/>
    <n v="31111"/>
    <n v="559998"/>
    <n v="247102"/>
    <n v="312896"/>
    <n v="11"/>
  </r>
  <r>
    <n v="1"/>
    <x v="0"/>
    <x v="0"/>
    <x v="1"/>
    <x v="3"/>
    <x v="0"/>
    <x v="3"/>
    <n v="18"/>
    <n v="67254"/>
    <n v="1210572"/>
    <n v="680867"/>
    <n v="529705"/>
    <n v="9"/>
  </r>
  <r>
    <n v="1"/>
    <x v="0"/>
    <x v="0"/>
    <x v="0"/>
    <x v="3"/>
    <x v="1"/>
    <x v="4"/>
    <n v="3"/>
    <n v="36646"/>
    <n v="109938"/>
    <n v="65742"/>
    <n v="44196"/>
    <n v="9"/>
  </r>
  <r>
    <n v="1"/>
    <x v="0"/>
    <x v="0"/>
    <x v="0"/>
    <x v="3"/>
    <x v="1"/>
    <x v="5"/>
    <n v="16"/>
    <n v="127512"/>
    <n v="2040192"/>
    <n v="1132287"/>
    <n v="907905"/>
    <n v="0"/>
  </r>
  <r>
    <n v="1"/>
    <x v="0"/>
    <x v="0"/>
    <x v="1"/>
    <x v="3"/>
    <x v="1"/>
    <x v="6"/>
    <n v="2"/>
    <n v="51616"/>
    <n v="103232"/>
    <n v="44176"/>
    <n v="59056"/>
    <n v="11"/>
  </r>
  <r>
    <n v="1"/>
    <x v="0"/>
    <x v="0"/>
    <x v="0"/>
    <x v="3"/>
    <x v="1"/>
    <x v="7"/>
    <n v="5"/>
    <n v="137796"/>
    <n v="688980"/>
    <n v="458027"/>
    <n v="230953"/>
    <n v="6"/>
  </r>
  <r>
    <n v="1"/>
    <x v="0"/>
    <x v="0"/>
    <x v="1"/>
    <x v="3"/>
    <x v="2"/>
    <x v="8"/>
    <n v="9"/>
    <n v="27400"/>
    <n v="246600"/>
    <n v="124474"/>
    <n v="122126"/>
    <n v="2"/>
  </r>
  <r>
    <n v="1"/>
    <x v="0"/>
    <x v="0"/>
    <x v="0"/>
    <x v="3"/>
    <x v="2"/>
    <x v="9"/>
    <n v="1"/>
    <n v="32183"/>
    <n v="32183"/>
    <n v="21088"/>
    <n v="11095"/>
    <n v="0"/>
  </r>
  <r>
    <n v="1"/>
    <x v="0"/>
    <x v="0"/>
    <x v="1"/>
    <x v="3"/>
    <x v="2"/>
    <x v="10"/>
    <n v="8"/>
    <n v="25539"/>
    <n v="204312"/>
    <n v="136800"/>
    <n v="67512"/>
    <n v="3"/>
  </r>
  <r>
    <n v="1"/>
    <x v="0"/>
    <x v="0"/>
    <x v="1"/>
    <x v="3"/>
    <x v="2"/>
    <x v="11"/>
    <n v="3"/>
    <n v="146063"/>
    <n v="438189"/>
    <n v="188614"/>
    <n v="249575"/>
    <n v="2"/>
  </r>
  <r>
    <n v="1"/>
    <x v="0"/>
    <x v="0"/>
    <x v="1"/>
    <x v="3"/>
    <x v="3"/>
    <x v="12"/>
    <n v="18"/>
    <n v="19207"/>
    <n v="345726"/>
    <n v="169962"/>
    <n v="175764"/>
    <n v="1"/>
  </r>
  <r>
    <n v="1"/>
    <x v="0"/>
    <x v="0"/>
    <x v="0"/>
    <x v="3"/>
    <x v="3"/>
    <x v="13"/>
    <n v="3"/>
    <n v="16983"/>
    <n v="50949"/>
    <n v="35579"/>
    <n v="15370"/>
    <n v="3"/>
  </r>
  <r>
    <n v="1"/>
    <x v="0"/>
    <x v="0"/>
    <x v="1"/>
    <x v="3"/>
    <x v="3"/>
    <x v="14"/>
    <n v="1"/>
    <n v="10699"/>
    <n v="10699"/>
    <n v="5041"/>
    <n v="5658"/>
    <n v="4"/>
  </r>
  <r>
    <n v="1"/>
    <x v="0"/>
    <x v="0"/>
    <x v="0"/>
    <x v="3"/>
    <x v="3"/>
    <x v="15"/>
    <n v="16"/>
    <n v="8987"/>
    <n v="143792"/>
    <n v="73325"/>
    <n v="70467"/>
    <n v="7"/>
  </r>
  <r>
    <n v="1"/>
    <x v="0"/>
    <x v="0"/>
    <x v="1"/>
    <x v="3"/>
    <x v="4"/>
    <x v="16"/>
    <n v="7"/>
    <n v="119522"/>
    <n v="836654"/>
    <n v="499719"/>
    <n v="336935"/>
    <n v="0"/>
  </r>
  <r>
    <n v="1"/>
    <x v="0"/>
    <x v="0"/>
    <x v="1"/>
    <x v="3"/>
    <x v="4"/>
    <x v="17"/>
    <n v="16"/>
    <n v="90091"/>
    <n v="1441456"/>
    <n v="796612"/>
    <n v="644844"/>
    <n v="5"/>
  </r>
  <r>
    <n v="1"/>
    <x v="0"/>
    <x v="0"/>
    <x v="0"/>
    <x v="3"/>
    <x v="4"/>
    <x v="18"/>
    <n v="14"/>
    <n v="136381"/>
    <n v="1909334"/>
    <n v="1321074"/>
    <n v="588260"/>
    <n v="12"/>
  </r>
  <r>
    <n v="1"/>
    <x v="0"/>
    <x v="0"/>
    <x v="0"/>
    <x v="3"/>
    <x v="4"/>
    <x v="19"/>
    <n v="19"/>
    <n v="96213"/>
    <n v="1828047"/>
    <n v="1228136"/>
    <n v="599911"/>
    <n v="10"/>
  </r>
  <r>
    <n v="1"/>
    <x v="0"/>
    <x v="0"/>
    <x v="0"/>
    <x v="4"/>
    <x v="0"/>
    <x v="0"/>
    <n v="2"/>
    <n v="68404"/>
    <n v="136808"/>
    <n v="75352"/>
    <n v="61456"/>
    <n v="11"/>
  </r>
  <r>
    <n v="1"/>
    <x v="0"/>
    <x v="0"/>
    <x v="0"/>
    <x v="4"/>
    <x v="0"/>
    <x v="1"/>
    <n v="15"/>
    <n v="127455"/>
    <n v="1911825"/>
    <n v="1260371"/>
    <n v="651454"/>
    <n v="11"/>
  </r>
  <r>
    <n v="1"/>
    <x v="0"/>
    <x v="0"/>
    <x v="1"/>
    <x v="4"/>
    <x v="0"/>
    <x v="2"/>
    <n v="16"/>
    <n v="65714"/>
    <n v="1051424"/>
    <n v="600995"/>
    <n v="450429"/>
    <n v="0"/>
  </r>
  <r>
    <n v="1"/>
    <x v="0"/>
    <x v="0"/>
    <x v="1"/>
    <x v="4"/>
    <x v="0"/>
    <x v="3"/>
    <n v="17"/>
    <n v="76491"/>
    <n v="1300347"/>
    <n v="887015"/>
    <n v="413332"/>
    <n v="12"/>
  </r>
  <r>
    <n v="1"/>
    <x v="0"/>
    <x v="0"/>
    <x v="0"/>
    <x v="4"/>
    <x v="1"/>
    <x v="4"/>
    <n v="14"/>
    <n v="56212"/>
    <n v="786968"/>
    <n v="523371"/>
    <n v="263597"/>
    <n v="11"/>
  </r>
  <r>
    <n v="1"/>
    <x v="0"/>
    <x v="0"/>
    <x v="0"/>
    <x v="4"/>
    <x v="1"/>
    <x v="5"/>
    <n v="9"/>
    <n v="53828"/>
    <n v="484452"/>
    <n v="328698"/>
    <n v="155754"/>
    <n v="0"/>
  </r>
  <r>
    <n v="1"/>
    <x v="0"/>
    <x v="0"/>
    <x v="1"/>
    <x v="4"/>
    <x v="1"/>
    <x v="6"/>
    <n v="14"/>
    <n v="65236"/>
    <n v="913304"/>
    <n v="522124"/>
    <n v="391180"/>
    <n v="11"/>
  </r>
  <r>
    <n v="1"/>
    <x v="0"/>
    <x v="0"/>
    <x v="0"/>
    <x v="4"/>
    <x v="1"/>
    <x v="7"/>
    <n v="1"/>
    <n v="144019"/>
    <n v="144019"/>
    <n v="70329"/>
    <n v="73690"/>
    <n v="4"/>
  </r>
  <r>
    <n v="1"/>
    <x v="0"/>
    <x v="0"/>
    <x v="1"/>
    <x v="4"/>
    <x v="2"/>
    <x v="8"/>
    <n v="1"/>
    <n v="138015"/>
    <n v="138015"/>
    <n v="75298"/>
    <n v="62717"/>
    <n v="1"/>
  </r>
  <r>
    <n v="1"/>
    <x v="0"/>
    <x v="0"/>
    <x v="1"/>
    <x v="4"/>
    <x v="2"/>
    <x v="9"/>
    <n v="10"/>
    <n v="140542"/>
    <n v="1405420"/>
    <n v="918110"/>
    <n v="487310"/>
    <n v="2"/>
  </r>
  <r>
    <n v="1"/>
    <x v="0"/>
    <x v="0"/>
    <x v="1"/>
    <x v="4"/>
    <x v="2"/>
    <x v="10"/>
    <n v="8"/>
    <n v="71885"/>
    <n v="575080"/>
    <n v="246797"/>
    <n v="328283"/>
    <n v="14"/>
  </r>
  <r>
    <n v="1"/>
    <x v="0"/>
    <x v="0"/>
    <x v="1"/>
    <x v="4"/>
    <x v="2"/>
    <x v="11"/>
    <n v="2"/>
    <n v="76958"/>
    <n v="153916"/>
    <n v="85500"/>
    <n v="68416"/>
    <n v="1"/>
  </r>
  <r>
    <n v="1"/>
    <x v="0"/>
    <x v="0"/>
    <x v="0"/>
    <x v="4"/>
    <x v="3"/>
    <x v="12"/>
    <n v="17"/>
    <n v="16367"/>
    <n v="278239"/>
    <n v="169476"/>
    <n v="108763"/>
    <n v="10"/>
  </r>
  <r>
    <n v="1"/>
    <x v="0"/>
    <x v="0"/>
    <x v="1"/>
    <x v="4"/>
    <x v="3"/>
    <x v="13"/>
    <n v="16"/>
    <n v="12206"/>
    <n v="195296"/>
    <n v="95319"/>
    <n v="99977"/>
    <n v="6"/>
  </r>
  <r>
    <n v="1"/>
    <x v="0"/>
    <x v="0"/>
    <x v="1"/>
    <x v="4"/>
    <x v="3"/>
    <x v="14"/>
    <n v="3"/>
    <n v="6841"/>
    <n v="20523"/>
    <n v="13547"/>
    <n v="6976"/>
    <n v="12"/>
  </r>
  <r>
    <n v="1"/>
    <x v="0"/>
    <x v="0"/>
    <x v="0"/>
    <x v="4"/>
    <x v="3"/>
    <x v="15"/>
    <n v="7"/>
    <n v="12992"/>
    <n v="90944"/>
    <n v="53508"/>
    <n v="37436"/>
    <n v="3"/>
  </r>
  <r>
    <n v="1"/>
    <x v="0"/>
    <x v="0"/>
    <x v="0"/>
    <x v="4"/>
    <x v="4"/>
    <x v="16"/>
    <n v="1"/>
    <n v="97575"/>
    <n v="97575"/>
    <n v="59578"/>
    <n v="37997"/>
    <n v="13"/>
  </r>
  <r>
    <n v="1"/>
    <x v="0"/>
    <x v="0"/>
    <x v="0"/>
    <x v="4"/>
    <x v="4"/>
    <x v="17"/>
    <n v="12"/>
    <n v="107922"/>
    <n v="1295064"/>
    <n v="649343"/>
    <n v="645721"/>
    <n v="11"/>
  </r>
  <r>
    <n v="1"/>
    <x v="0"/>
    <x v="0"/>
    <x v="1"/>
    <x v="4"/>
    <x v="4"/>
    <x v="18"/>
    <n v="2"/>
    <n v="98657"/>
    <n v="197314"/>
    <n v="104880"/>
    <n v="92434"/>
    <n v="14"/>
  </r>
  <r>
    <n v="1"/>
    <x v="0"/>
    <x v="0"/>
    <x v="1"/>
    <x v="4"/>
    <x v="4"/>
    <x v="19"/>
    <n v="19"/>
    <n v="113848"/>
    <n v="2163112"/>
    <n v="965856"/>
    <n v="1197256"/>
    <n v="13"/>
  </r>
  <r>
    <n v="1"/>
    <x v="0"/>
    <x v="0"/>
    <x v="1"/>
    <x v="5"/>
    <x v="0"/>
    <x v="0"/>
    <n v="17"/>
    <n v="128211"/>
    <n v="2179587"/>
    <n v="897227"/>
    <n v="1282360"/>
    <n v="14"/>
  </r>
  <r>
    <n v="1"/>
    <x v="0"/>
    <x v="0"/>
    <x v="0"/>
    <x v="5"/>
    <x v="0"/>
    <x v="1"/>
    <n v="11"/>
    <n v="88027"/>
    <n v="968297"/>
    <n v="482207"/>
    <n v="486090"/>
    <n v="7"/>
  </r>
  <r>
    <n v="1"/>
    <x v="0"/>
    <x v="0"/>
    <x v="1"/>
    <x v="5"/>
    <x v="0"/>
    <x v="2"/>
    <n v="12"/>
    <n v="68747"/>
    <n v="824964"/>
    <n v="484144"/>
    <n v="340820"/>
    <n v="3"/>
  </r>
  <r>
    <n v="1"/>
    <x v="0"/>
    <x v="0"/>
    <x v="1"/>
    <x v="5"/>
    <x v="0"/>
    <x v="3"/>
    <n v="6"/>
    <n v="86412"/>
    <n v="518472"/>
    <n v="237622"/>
    <n v="280850"/>
    <n v="13"/>
  </r>
  <r>
    <n v="1"/>
    <x v="0"/>
    <x v="0"/>
    <x v="1"/>
    <x v="5"/>
    <x v="1"/>
    <x v="4"/>
    <n v="15"/>
    <n v="100738"/>
    <n v="1511070"/>
    <n v="893388"/>
    <n v="617682"/>
    <n v="3"/>
  </r>
  <r>
    <n v="1"/>
    <x v="0"/>
    <x v="0"/>
    <x v="0"/>
    <x v="5"/>
    <x v="1"/>
    <x v="5"/>
    <n v="16"/>
    <n v="114476"/>
    <n v="1831616"/>
    <n v="1265392"/>
    <n v="566224"/>
    <n v="9"/>
  </r>
  <r>
    <n v="1"/>
    <x v="0"/>
    <x v="0"/>
    <x v="0"/>
    <x v="5"/>
    <x v="1"/>
    <x v="6"/>
    <n v="19"/>
    <n v="106672"/>
    <n v="2026768"/>
    <n v="1053202"/>
    <n v="973566"/>
    <n v="2"/>
  </r>
  <r>
    <n v="1"/>
    <x v="0"/>
    <x v="0"/>
    <x v="1"/>
    <x v="5"/>
    <x v="1"/>
    <x v="7"/>
    <n v="5"/>
    <n v="52217"/>
    <n v="261085"/>
    <n v="179833"/>
    <n v="81252"/>
    <n v="6"/>
  </r>
  <r>
    <n v="1"/>
    <x v="0"/>
    <x v="0"/>
    <x v="1"/>
    <x v="5"/>
    <x v="2"/>
    <x v="8"/>
    <n v="9"/>
    <n v="120235"/>
    <n v="1082115"/>
    <n v="565606"/>
    <n v="516509"/>
    <n v="9"/>
  </r>
  <r>
    <n v="1"/>
    <x v="0"/>
    <x v="0"/>
    <x v="0"/>
    <x v="5"/>
    <x v="2"/>
    <x v="9"/>
    <n v="1"/>
    <n v="145729"/>
    <n v="145729"/>
    <n v="68774"/>
    <n v="76955"/>
    <n v="5"/>
  </r>
  <r>
    <n v="1"/>
    <x v="0"/>
    <x v="0"/>
    <x v="0"/>
    <x v="5"/>
    <x v="2"/>
    <x v="10"/>
    <n v="16"/>
    <n v="40056"/>
    <n v="640896"/>
    <n v="383293"/>
    <n v="257603"/>
    <n v="4"/>
  </r>
  <r>
    <n v="1"/>
    <x v="0"/>
    <x v="0"/>
    <x v="1"/>
    <x v="5"/>
    <x v="2"/>
    <x v="11"/>
    <n v="1"/>
    <n v="23343"/>
    <n v="23343"/>
    <n v="12955"/>
    <n v="10388"/>
    <n v="14"/>
  </r>
  <r>
    <n v="1"/>
    <x v="0"/>
    <x v="0"/>
    <x v="1"/>
    <x v="5"/>
    <x v="3"/>
    <x v="12"/>
    <n v="5"/>
    <n v="12004"/>
    <n v="60020"/>
    <n v="31563"/>
    <n v="28457"/>
    <n v="11"/>
  </r>
  <r>
    <n v="1"/>
    <x v="0"/>
    <x v="0"/>
    <x v="0"/>
    <x v="5"/>
    <x v="3"/>
    <x v="13"/>
    <n v="16"/>
    <n v="8506"/>
    <n v="136096"/>
    <n v="85380"/>
    <n v="50716"/>
    <n v="8"/>
  </r>
  <r>
    <n v="1"/>
    <x v="0"/>
    <x v="0"/>
    <x v="1"/>
    <x v="5"/>
    <x v="3"/>
    <x v="14"/>
    <n v="14"/>
    <n v="14435"/>
    <n v="202090"/>
    <n v="83625"/>
    <n v="118465"/>
    <n v="0"/>
  </r>
  <r>
    <n v="1"/>
    <x v="0"/>
    <x v="0"/>
    <x v="1"/>
    <x v="5"/>
    <x v="3"/>
    <x v="15"/>
    <n v="14"/>
    <n v="18245"/>
    <n v="255430"/>
    <n v="156092"/>
    <n v="99338"/>
    <n v="11"/>
  </r>
  <r>
    <n v="1"/>
    <x v="0"/>
    <x v="0"/>
    <x v="0"/>
    <x v="5"/>
    <x v="4"/>
    <x v="16"/>
    <n v="16"/>
    <n v="128761"/>
    <n v="2060176"/>
    <n v="1295869"/>
    <n v="764307"/>
    <n v="4"/>
  </r>
  <r>
    <n v="1"/>
    <x v="0"/>
    <x v="0"/>
    <x v="0"/>
    <x v="5"/>
    <x v="4"/>
    <x v="17"/>
    <n v="7"/>
    <n v="111747"/>
    <n v="782229"/>
    <n v="353536"/>
    <n v="428693"/>
    <n v="13"/>
  </r>
  <r>
    <n v="1"/>
    <x v="0"/>
    <x v="0"/>
    <x v="0"/>
    <x v="5"/>
    <x v="4"/>
    <x v="18"/>
    <n v="5"/>
    <n v="46646"/>
    <n v="233230"/>
    <n v="96654"/>
    <n v="136576"/>
    <n v="5"/>
  </r>
  <r>
    <n v="1"/>
    <x v="0"/>
    <x v="0"/>
    <x v="1"/>
    <x v="5"/>
    <x v="4"/>
    <x v="19"/>
    <n v="5"/>
    <n v="117379"/>
    <n v="586895"/>
    <n v="242734"/>
    <n v="344161"/>
    <n v="14"/>
  </r>
  <r>
    <n v="1"/>
    <x v="0"/>
    <x v="0"/>
    <x v="1"/>
    <x v="6"/>
    <x v="0"/>
    <x v="0"/>
    <n v="10"/>
    <n v="43289"/>
    <n v="432890"/>
    <n v="294378"/>
    <n v="138512"/>
    <n v="0"/>
  </r>
  <r>
    <n v="1"/>
    <x v="0"/>
    <x v="0"/>
    <x v="1"/>
    <x v="6"/>
    <x v="0"/>
    <x v="1"/>
    <n v="5"/>
    <n v="36364"/>
    <n v="181820"/>
    <n v="81615"/>
    <n v="100205"/>
    <n v="7"/>
  </r>
  <r>
    <n v="1"/>
    <x v="0"/>
    <x v="0"/>
    <x v="1"/>
    <x v="6"/>
    <x v="0"/>
    <x v="2"/>
    <n v="16"/>
    <n v="124182"/>
    <n v="1986912"/>
    <n v="1357608"/>
    <n v="629304"/>
    <n v="11"/>
  </r>
  <r>
    <n v="1"/>
    <x v="0"/>
    <x v="0"/>
    <x v="0"/>
    <x v="6"/>
    <x v="0"/>
    <x v="3"/>
    <n v="12"/>
    <n v="92369"/>
    <n v="1108428"/>
    <n v="634032"/>
    <n v="474396"/>
    <n v="0"/>
  </r>
  <r>
    <n v="1"/>
    <x v="0"/>
    <x v="0"/>
    <x v="0"/>
    <x v="6"/>
    <x v="1"/>
    <x v="4"/>
    <n v="1"/>
    <n v="90588"/>
    <n v="90588"/>
    <n v="51063"/>
    <n v="39525"/>
    <n v="4"/>
  </r>
  <r>
    <n v="1"/>
    <x v="0"/>
    <x v="0"/>
    <x v="1"/>
    <x v="6"/>
    <x v="1"/>
    <x v="5"/>
    <n v="12"/>
    <n v="126306"/>
    <n v="1515672"/>
    <n v="979318"/>
    <n v="536354"/>
    <n v="7"/>
  </r>
  <r>
    <n v="1"/>
    <x v="0"/>
    <x v="0"/>
    <x v="0"/>
    <x v="6"/>
    <x v="1"/>
    <x v="6"/>
    <n v="10"/>
    <n v="102986"/>
    <n v="1029860"/>
    <n v="472435"/>
    <n v="557425"/>
    <n v="12"/>
  </r>
  <r>
    <n v="1"/>
    <x v="0"/>
    <x v="0"/>
    <x v="1"/>
    <x v="6"/>
    <x v="1"/>
    <x v="7"/>
    <n v="12"/>
    <n v="58494"/>
    <n v="701928"/>
    <n v="360213"/>
    <n v="341715"/>
    <n v="12"/>
  </r>
  <r>
    <n v="1"/>
    <x v="0"/>
    <x v="0"/>
    <x v="0"/>
    <x v="6"/>
    <x v="2"/>
    <x v="8"/>
    <n v="19"/>
    <n v="143633"/>
    <n v="2729027"/>
    <n v="1650793"/>
    <n v="1078234"/>
    <n v="0"/>
  </r>
  <r>
    <n v="1"/>
    <x v="0"/>
    <x v="0"/>
    <x v="1"/>
    <x v="6"/>
    <x v="2"/>
    <x v="9"/>
    <n v="8"/>
    <n v="108668"/>
    <n v="869344"/>
    <n v="568083"/>
    <n v="301261"/>
    <n v="9"/>
  </r>
  <r>
    <n v="1"/>
    <x v="0"/>
    <x v="0"/>
    <x v="1"/>
    <x v="6"/>
    <x v="2"/>
    <x v="10"/>
    <n v="2"/>
    <n v="77458"/>
    <n v="154916"/>
    <n v="75065"/>
    <n v="79851"/>
    <n v="3"/>
  </r>
  <r>
    <n v="1"/>
    <x v="0"/>
    <x v="0"/>
    <x v="0"/>
    <x v="6"/>
    <x v="2"/>
    <x v="11"/>
    <n v="18"/>
    <n v="46092"/>
    <n v="829656"/>
    <n v="564991"/>
    <n v="264665"/>
    <n v="7"/>
  </r>
  <r>
    <n v="1"/>
    <x v="0"/>
    <x v="0"/>
    <x v="0"/>
    <x v="6"/>
    <x v="3"/>
    <x v="12"/>
    <n v="4"/>
    <n v="5728"/>
    <n v="22912"/>
    <n v="14687"/>
    <n v="8225"/>
    <n v="8"/>
  </r>
  <r>
    <n v="1"/>
    <x v="0"/>
    <x v="0"/>
    <x v="0"/>
    <x v="6"/>
    <x v="3"/>
    <x v="13"/>
    <n v="4"/>
    <n v="16657"/>
    <n v="66628"/>
    <n v="35115"/>
    <n v="31513"/>
    <n v="7"/>
  </r>
  <r>
    <n v="1"/>
    <x v="0"/>
    <x v="0"/>
    <x v="1"/>
    <x v="6"/>
    <x v="3"/>
    <x v="14"/>
    <n v="3"/>
    <n v="6122"/>
    <n v="18366"/>
    <n v="9619"/>
    <n v="8747"/>
    <n v="1"/>
  </r>
  <r>
    <n v="1"/>
    <x v="0"/>
    <x v="0"/>
    <x v="0"/>
    <x v="6"/>
    <x v="3"/>
    <x v="15"/>
    <n v="17"/>
    <n v="7143"/>
    <n v="121431"/>
    <n v="60987"/>
    <n v="60444"/>
    <n v="13"/>
  </r>
  <r>
    <n v="1"/>
    <x v="0"/>
    <x v="0"/>
    <x v="0"/>
    <x v="6"/>
    <x v="4"/>
    <x v="16"/>
    <n v="5"/>
    <n v="64811"/>
    <n v="324055"/>
    <n v="171327"/>
    <n v="152728"/>
    <n v="12"/>
  </r>
  <r>
    <n v="1"/>
    <x v="0"/>
    <x v="0"/>
    <x v="0"/>
    <x v="6"/>
    <x v="4"/>
    <x v="17"/>
    <n v="3"/>
    <n v="41352"/>
    <n v="124056"/>
    <n v="63680"/>
    <n v="60376"/>
    <n v="0"/>
  </r>
  <r>
    <n v="1"/>
    <x v="0"/>
    <x v="0"/>
    <x v="0"/>
    <x v="6"/>
    <x v="4"/>
    <x v="18"/>
    <n v="16"/>
    <n v="20728"/>
    <n v="331648"/>
    <n v="164502"/>
    <n v="167146"/>
    <n v="10"/>
  </r>
  <r>
    <n v="1"/>
    <x v="0"/>
    <x v="0"/>
    <x v="1"/>
    <x v="6"/>
    <x v="4"/>
    <x v="19"/>
    <n v="19"/>
    <n v="67280"/>
    <n v="1278320"/>
    <n v="531839"/>
    <n v="746481"/>
    <n v="12"/>
  </r>
  <r>
    <n v="1"/>
    <x v="0"/>
    <x v="0"/>
    <x v="0"/>
    <x v="7"/>
    <x v="0"/>
    <x v="0"/>
    <n v="9"/>
    <n v="44466"/>
    <n v="400194"/>
    <n v="171037"/>
    <n v="229157"/>
    <n v="6"/>
  </r>
  <r>
    <n v="1"/>
    <x v="0"/>
    <x v="0"/>
    <x v="1"/>
    <x v="7"/>
    <x v="0"/>
    <x v="1"/>
    <n v="14"/>
    <n v="71934"/>
    <n v="1007076"/>
    <n v="690030"/>
    <n v="317046"/>
    <n v="2"/>
  </r>
  <r>
    <n v="1"/>
    <x v="0"/>
    <x v="0"/>
    <x v="1"/>
    <x v="7"/>
    <x v="0"/>
    <x v="2"/>
    <n v="15"/>
    <n v="28335"/>
    <n v="425025"/>
    <n v="227190"/>
    <n v="197835"/>
    <n v="2"/>
  </r>
  <r>
    <n v="1"/>
    <x v="0"/>
    <x v="0"/>
    <x v="1"/>
    <x v="7"/>
    <x v="0"/>
    <x v="3"/>
    <n v="12"/>
    <n v="109112"/>
    <n v="1309344"/>
    <n v="741233"/>
    <n v="568111"/>
    <n v="4"/>
  </r>
  <r>
    <n v="1"/>
    <x v="0"/>
    <x v="0"/>
    <x v="0"/>
    <x v="7"/>
    <x v="1"/>
    <x v="4"/>
    <n v="4"/>
    <n v="138324"/>
    <n v="553296"/>
    <n v="352711"/>
    <n v="200585"/>
    <n v="8"/>
  </r>
  <r>
    <n v="1"/>
    <x v="0"/>
    <x v="0"/>
    <x v="1"/>
    <x v="7"/>
    <x v="1"/>
    <x v="5"/>
    <n v="7"/>
    <n v="104076"/>
    <n v="728532"/>
    <n v="494876"/>
    <n v="233656"/>
    <n v="9"/>
  </r>
  <r>
    <n v="1"/>
    <x v="0"/>
    <x v="0"/>
    <x v="0"/>
    <x v="7"/>
    <x v="1"/>
    <x v="6"/>
    <n v="7"/>
    <n v="108461"/>
    <n v="759227"/>
    <n v="428855"/>
    <n v="330372"/>
    <n v="4"/>
  </r>
  <r>
    <n v="1"/>
    <x v="0"/>
    <x v="0"/>
    <x v="0"/>
    <x v="7"/>
    <x v="1"/>
    <x v="7"/>
    <n v="3"/>
    <n v="58102"/>
    <n v="174306"/>
    <n v="98269"/>
    <n v="76037"/>
    <n v="10"/>
  </r>
  <r>
    <n v="1"/>
    <x v="0"/>
    <x v="0"/>
    <x v="0"/>
    <x v="7"/>
    <x v="2"/>
    <x v="8"/>
    <n v="18"/>
    <n v="123150"/>
    <n v="2216700"/>
    <n v="981770"/>
    <n v="1234930"/>
    <n v="9"/>
  </r>
  <r>
    <n v="1"/>
    <x v="0"/>
    <x v="0"/>
    <x v="1"/>
    <x v="7"/>
    <x v="2"/>
    <x v="9"/>
    <n v="12"/>
    <n v="92592"/>
    <n v="1111104"/>
    <n v="478148"/>
    <n v="632956"/>
    <n v="6"/>
  </r>
  <r>
    <n v="1"/>
    <x v="0"/>
    <x v="0"/>
    <x v="1"/>
    <x v="7"/>
    <x v="2"/>
    <x v="10"/>
    <n v="14"/>
    <n v="66732"/>
    <n v="934248"/>
    <n v="436081"/>
    <n v="498167"/>
    <n v="8"/>
  </r>
  <r>
    <n v="1"/>
    <x v="0"/>
    <x v="0"/>
    <x v="1"/>
    <x v="7"/>
    <x v="2"/>
    <x v="11"/>
    <n v="18"/>
    <n v="108858"/>
    <n v="1959444"/>
    <n v="1198930"/>
    <n v="760514"/>
    <n v="4"/>
  </r>
  <r>
    <n v="1"/>
    <x v="0"/>
    <x v="0"/>
    <x v="0"/>
    <x v="7"/>
    <x v="3"/>
    <x v="12"/>
    <n v="5"/>
    <n v="10541"/>
    <n v="52705"/>
    <n v="36682"/>
    <n v="16023"/>
    <n v="12"/>
  </r>
  <r>
    <n v="1"/>
    <x v="0"/>
    <x v="0"/>
    <x v="1"/>
    <x v="7"/>
    <x v="3"/>
    <x v="13"/>
    <n v="1"/>
    <n v="6365"/>
    <n v="6365"/>
    <n v="4098"/>
    <n v="2267"/>
    <n v="14"/>
  </r>
  <r>
    <n v="1"/>
    <x v="0"/>
    <x v="0"/>
    <x v="1"/>
    <x v="7"/>
    <x v="3"/>
    <x v="14"/>
    <n v="7"/>
    <n v="9312"/>
    <n v="65184"/>
    <n v="37648"/>
    <n v="27536"/>
    <n v="3"/>
  </r>
  <r>
    <n v="1"/>
    <x v="0"/>
    <x v="0"/>
    <x v="1"/>
    <x v="7"/>
    <x v="3"/>
    <x v="15"/>
    <n v="6"/>
    <n v="12419"/>
    <n v="74514"/>
    <n v="31672"/>
    <n v="42842"/>
    <n v="12"/>
  </r>
  <r>
    <n v="1"/>
    <x v="0"/>
    <x v="0"/>
    <x v="0"/>
    <x v="7"/>
    <x v="4"/>
    <x v="16"/>
    <n v="12"/>
    <n v="123605"/>
    <n v="1483260"/>
    <n v="907051"/>
    <n v="576209"/>
    <n v="9"/>
  </r>
  <r>
    <n v="1"/>
    <x v="0"/>
    <x v="0"/>
    <x v="0"/>
    <x v="7"/>
    <x v="4"/>
    <x v="17"/>
    <n v="19"/>
    <n v="114246"/>
    <n v="2170674"/>
    <n v="1151185"/>
    <n v="1019489"/>
    <n v="12"/>
  </r>
  <r>
    <n v="1"/>
    <x v="0"/>
    <x v="0"/>
    <x v="0"/>
    <x v="7"/>
    <x v="4"/>
    <x v="18"/>
    <n v="13"/>
    <n v="106769"/>
    <n v="1387997"/>
    <n v="750348"/>
    <n v="637649"/>
    <n v="9"/>
  </r>
  <r>
    <n v="1"/>
    <x v="0"/>
    <x v="0"/>
    <x v="1"/>
    <x v="7"/>
    <x v="4"/>
    <x v="19"/>
    <n v="8"/>
    <n v="33116"/>
    <n v="264928"/>
    <n v="171365"/>
    <n v="93563"/>
    <n v="6"/>
  </r>
  <r>
    <n v="1"/>
    <x v="0"/>
    <x v="0"/>
    <x v="1"/>
    <x v="8"/>
    <x v="0"/>
    <x v="0"/>
    <n v="1"/>
    <n v="59298"/>
    <n v="59298"/>
    <n v="34096"/>
    <n v="25202"/>
    <n v="13"/>
  </r>
  <r>
    <n v="1"/>
    <x v="0"/>
    <x v="0"/>
    <x v="1"/>
    <x v="8"/>
    <x v="0"/>
    <x v="1"/>
    <n v="17"/>
    <n v="43960"/>
    <n v="747320"/>
    <n v="493664"/>
    <n v="253656"/>
    <n v="5"/>
  </r>
  <r>
    <n v="1"/>
    <x v="0"/>
    <x v="0"/>
    <x v="0"/>
    <x v="8"/>
    <x v="0"/>
    <x v="2"/>
    <n v="6"/>
    <n v="87641"/>
    <n v="525846"/>
    <n v="212255"/>
    <n v="313591"/>
    <n v="12"/>
  </r>
  <r>
    <n v="1"/>
    <x v="0"/>
    <x v="0"/>
    <x v="1"/>
    <x v="8"/>
    <x v="0"/>
    <x v="3"/>
    <n v="15"/>
    <n v="148148"/>
    <n v="2222220"/>
    <n v="917821"/>
    <n v="1304399"/>
    <n v="4"/>
  </r>
  <r>
    <n v="1"/>
    <x v="0"/>
    <x v="0"/>
    <x v="1"/>
    <x v="8"/>
    <x v="1"/>
    <x v="4"/>
    <n v="11"/>
    <n v="96539"/>
    <n v="1061929"/>
    <n v="448281"/>
    <n v="613648"/>
    <n v="2"/>
  </r>
  <r>
    <n v="1"/>
    <x v="0"/>
    <x v="0"/>
    <x v="1"/>
    <x v="8"/>
    <x v="1"/>
    <x v="5"/>
    <n v="19"/>
    <n v="33843"/>
    <n v="643017"/>
    <n v="271758"/>
    <n v="371259"/>
    <n v="14"/>
  </r>
  <r>
    <n v="1"/>
    <x v="0"/>
    <x v="0"/>
    <x v="1"/>
    <x v="8"/>
    <x v="1"/>
    <x v="6"/>
    <n v="9"/>
    <n v="72528"/>
    <n v="652752"/>
    <n v="397346"/>
    <n v="255406"/>
    <n v="14"/>
  </r>
  <r>
    <n v="1"/>
    <x v="0"/>
    <x v="0"/>
    <x v="1"/>
    <x v="8"/>
    <x v="1"/>
    <x v="7"/>
    <n v="1"/>
    <n v="127892"/>
    <n v="127892"/>
    <n v="77896"/>
    <n v="49996"/>
    <n v="2"/>
  </r>
  <r>
    <n v="1"/>
    <x v="0"/>
    <x v="0"/>
    <x v="1"/>
    <x v="8"/>
    <x v="2"/>
    <x v="8"/>
    <n v="16"/>
    <n v="61430"/>
    <n v="982880"/>
    <n v="406552"/>
    <n v="576328"/>
    <n v="11"/>
  </r>
  <r>
    <n v="1"/>
    <x v="0"/>
    <x v="0"/>
    <x v="1"/>
    <x v="8"/>
    <x v="2"/>
    <x v="9"/>
    <n v="10"/>
    <n v="30975"/>
    <n v="309750"/>
    <n v="129277"/>
    <n v="180473"/>
    <n v="5"/>
  </r>
  <r>
    <n v="1"/>
    <x v="0"/>
    <x v="0"/>
    <x v="1"/>
    <x v="8"/>
    <x v="2"/>
    <x v="10"/>
    <n v="12"/>
    <n v="43959"/>
    <n v="527508"/>
    <n v="309140"/>
    <n v="218368"/>
    <n v="7"/>
  </r>
  <r>
    <n v="1"/>
    <x v="0"/>
    <x v="0"/>
    <x v="1"/>
    <x v="8"/>
    <x v="2"/>
    <x v="11"/>
    <n v="4"/>
    <n v="81529"/>
    <n v="326116"/>
    <n v="168432"/>
    <n v="157684"/>
    <n v="11"/>
  </r>
  <r>
    <n v="1"/>
    <x v="0"/>
    <x v="0"/>
    <x v="1"/>
    <x v="8"/>
    <x v="3"/>
    <x v="12"/>
    <n v="18"/>
    <n v="5539"/>
    <n v="99702"/>
    <n v="42205"/>
    <n v="57497"/>
    <n v="8"/>
  </r>
  <r>
    <n v="1"/>
    <x v="0"/>
    <x v="0"/>
    <x v="1"/>
    <x v="8"/>
    <x v="3"/>
    <x v="13"/>
    <n v="4"/>
    <n v="8775"/>
    <n v="35100"/>
    <n v="18812"/>
    <n v="16288"/>
    <n v="14"/>
  </r>
  <r>
    <n v="1"/>
    <x v="0"/>
    <x v="0"/>
    <x v="1"/>
    <x v="8"/>
    <x v="3"/>
    <x v="14"/>
    <n v="17"/>
    <n v="10320"/>
    <n v="175440"/>
    <n v="86467"/>
    <n v="88973"/>
    <n v="3"/>
  </r>
  <r>
    <n v="1"/>
    <x v="0"/>
    <x v="0"/>
    <x v="0"/>
    <x v="8"/>
    <x v="3"/>
    <x v="15"/>
    <n v="13"/>
    <n v="7779"/>
    <n v="101127"/>
    <n v="48671"/>
    <n v="52456"/>
    <n v="12"/>
  </r>
  <r>
    <n v="1"/>
    <x v="0"/>
    <x v="0"/>
    <x v="1"/>
    <x v="8"/>
    <x v="4"/>
    <x v="16"/>
    <n v="14"/>
    <n v="142402"/>
    <n v="1993628"/>
    <n v="1289401"/>
    <n v="704227"/>
    <n v="1"/>
  </r>
  <r>
    <n v="1"/>
    <x v="0"/>
    <x v="0"/>
    <x v="0"/>
    <x v="8"/>
    <x v="4"/>
    <x v="17"/>
    <n v="19"/>
    <n v="69407"/>
    <n v="1318733"/>
    <n v="757412"/>
    <n v="561321"/>
    <n v="8"/>
  </r>
  <r>
    <n v="1"/>
    <x v="0"/>
    <x v="0"/>
    <x v="1"/>
    <x v="8"/>
    <x v="4"/>
    <x v="18"/>
    <n v="2"/>
    <n v="85545"/>
    <n v="171090"/>
    <n v="116310"/>
    <n v="54780"/>
    <n v="1"/>
  </r>
  <r>
    <n v="1"/>
    <x v="0"/>
    <x v="0"/>
    <x v="0"/>
    <x v="8"/>
    <x v="4"/>
    <x v="19"/>
    <n v="13"/>
    <n v="57892"/>
    <n v="752596"/>
    <n v="306991"/>
    <n v="445605"/>
    <n v="0"/>
  </r>
  <r>
    <n v="1"/>
    <x v="0"/>
    <x v="0"/>
    <x v="1"/>
    <x v="9"/>
    <x v="0"/>
    <x v="0"/>
    <n v="1"/>
    <n v="120497"/>
    <n v="120497"/>
    <n v="83887"/>
    <n v="36610"/>
    <n v="0"/>
  </r>
  <r>
    <n v="1"/>
    <x v="0"/>
    <x v="0"/>
    <x v="0"/>
    <x v="9"/>
    <x v="0"/>
    <x v="1"/>
    <n v="11"/>
    <n v="82292"/>
    <n v="905212"/>
    <n v="565642"/>
    <n v="339570"/>
    <n v="8"/>
  </r>
  <r>
    <n v="1"/>
    <x v="0"/>
    <x v="0"/>
    <x v="1"/>
    <x v="9"/>
    <x v="0"/>
    <x v="2"/>
    <n v="17"/>
    <n v="66540"/>
    <n v="1131180"/>
    <n v="474024"/>
    <n v="657156"/>
    <n v="8"/>
  </r>
  <r>
    <n v="1"/>
    <x v="0"/>
    <x v="0"/>
    <x v="0"/>
    <x v="9"/>
    <x v="0"/>
    <x v="3"/>
    <n v="3"/>
    <n v="28702"/>
    <n v="86106"/>
    <n v="41504"/>
    <n v="44602"/>
    <n v="6"/>
  </r>
  <r>
    <n v="1"/>
    <x v="0"/>
    <x v="0"/>
    <x v="0"/>
    <x v="9"/>
    <x v="1"/>
    <x v="4"/>
    <n v="6"/>
    <n v="32763"/>
    <n v="196578"/>
    <n v="126570"/>
    <n v="70008"/>
    <n v="14"/>
  </r>
  <r>
    <n v="1"/>
    <x v="0"/>
    <x v="0"/>
    <x v="1"/>
    <x v="9"/>
    <x v="1"/>
    <x v="5"/>
    <n v="5"/>
    <n v="124293"/>
    <n v="621465"/>
    <n v="418836"/>
    <n v="202629"/>
    <n v="6"/>
  </r>
  <r>
    <n v="1"/>
    <x v="0"/>
    <x v="0"/>
    <x v="0"/>
    <x v="9"/>
    <x v="1"/>
    <x v="6"/>
    <n v="5"/>
    <n v="89172"/>
    <n v="445860"/>
    <n v="304713"/>
    <n v="141147"/>
    <n v="9"/>
  </r>
  <r>
    <n v="1"/>
    <x v="0"/>
    <x v="0"/>
    <x v="1"/>
    <x v="9"/>
    <x v="1"/>
    <x v="7"/>
    <n v="19"/>
    <n v="33456"/>
    <n v="635664"/>
    <n v="300240"/>
    <n v="335424"/>
    <n v="8"/>
  </r>
  <r>
    <n v="1"/>
    <x v="0"/>
    <x v="0"/>
    <x v="1"/>
    <x v="9"/>
    <x v="2"/>
    <x v="8"/>
    <n v="14"/>
    <n v="54816"/>
    <n v="767424"/>
    <n v="526618"/>
    <n v="240806"/>
    <n v="12"/>
  </r>
  <r>
    <n v="1"/>
    <x v="0"/>
    <x v="0"/>
    <x v="0"/>
    <x v="9"/>
    <x v="2"/>
    <x v="9"/>
    <n v="4"/>
    <n v="41949"/>
    <n v="167796"/>
    <n v="111326"/>
    <n v="56470"/>
    <n v="7"/>
  </r>
  <r>
    <n v="1"/>
    <x v="0"/>
    <x v="0"/>
    <x v="1"/>
    <x v="9"/>
    <x v="2"/>
    <x v="10"/>
    <n v="2"/>
    <n v="56187"/>
    <n v="112374"/>
    <n v="54007"/>
    <n v="58367"/>
    <n v="6"/>
  </r>
  <r>
    <n v="1"/>
    <x v="0"/>
    <x v="0"/>
    <x v="0"/>
    <x v="9"/>
    <x v="2"/>
    <x v="11"/>
    <n v="2"/>
    <n v="81877"/>
    <n v="163754"/>
    <n v="103442"/>
    <n v="60312"/>
    <n v="10"/>
  </r>
  <r>
    <n v="1"/>
    <x v="0"/>
    <x v="0"/>
    <x v="1"/>
    <x v="9"/>
    <x v="3"/>
    <x v="12"/>
    <n v="18"/>
    <n v="9363"/>
    <n v="168534"/>
    <n v="108690"/>
    <n v="59844"/>
    <n v="11"/>
  </r>
  <r>
    <n v="1"/>
    <x v="0"/>
    <x v="0"/>
    <x v="0"/>
    <x v="9"/>
    <x v="3"/>
    <x v="13"/>
    <n v="5"/>
    <n v="16229"/>
    <n v="81145"/>
    <n v="53798"/>
    <n v="27347"/>
    <n v="8"/>
  </r>
  <r>
    <n v="1"/>
    <x v="0"/>
    <x v="0"/>
    <x v="1"/>
    <x v="9"/>
    <x v="3"/>
    <x v="14"/>
    <n v="17"/>
    <n v="9719"/>
    <n v="165223"/>
    <n v="89883"/>
    <n v="75340"/>
    <n v="6"/>
  </r>
  <r>
    <n v="1"/>
    <x v="0"/>
    <x v="0"/>
    <x v="1"/>
    <x v="9"/>
    <x v="3"/>
    <x v="15"/>
    <n v="15"/>
    <n v="6252"/>
    <n v="93780"/>
    <n v="54963"/>
    <n v="38817"/>
    <n v="1"/>
  </r>
  <r>
    <n v="1"/>
    <x v="0"/>
    <x v="0"/>
    <x v="0"/>
    <x v="9"/>
    <x v="4"/>
    <x v="16"/>
    <n v="11"/>
    <n v="73682"/>
    <n v="810502"/>
    <n v="543802"/>
    <n v="266700"/>
    <n v="11"/>
  </r>
  <r>
    <n v="1"/>
    <x v="0"/>
    <x v="0"/>
    <x v="0"/>
    <x v="9"/>
    <x v="4"/>
    <x v="17"/>
    <n v="2"/>
    <n v="26949"/>
    <n v="53898"/>
    <n v="31391"/>
    <n v="22507"/>
    <n v="1"/>
  </r>
  <r>
    <n v="1"/>
    <x v="0"/>
    <x v="0"/>
    <x v="0"/>
    <x v="9"/>
    <x v="4"/>
    <x v="18"/>
    <n v="15"/>
    <n v="43386"/>
    <n v="650790"/>
    <n v="278082"/>
    <n v="372708"/>
    <n v="1"/>
  </r>
  <r>
    <n v="1"/>
    <x v="0"/>
    <x v="0"/>
    <x v="1"/>
    <x v="9"/>
    <x v="4"/>
    <x v="19"/>
    <n v="6"/>
    <n v="76800"/>
    <n v="460800"/>
    <n v="292652"/>
    <n v="168148"/>
    <n v="11"/>
  </r>
  <r>
    <n v="1"/>
    <x v="0"/>
    <x v="0"/>
    <x v="1"/>
    <x v="10"/>
    <x v="0"/>
    <x v="0"/>
    <n v="10"/>
    <n v="142418"/>
    <n v="1424180"/>
    <n v="867742"/>
    <n v="556438"/>
    <n v="12"/>
  </r>
  <r>
    <n v="1"/>
    <x v="0"/>
    <x v="0"/>
    <x v="1"/>
    <x v="10"/>
    <x v="0"/>
    <x v="1"/>
    <n v="4"/>
    <n v="134825"/>
    <n v="539300"/>
    <n v="365632"/>
    <n v="173668"/>
    <n v="9"/>
  </r>
  <r>
    <n v="1"/>
    <x v="0"/>
    <x v="0"/>
    <x v="1"/>
    <x v="10"/>
    <x v="0"/>
    <x v="2"/>
    <n v="17"/>
    <n v="39963"/>
    <n v="679371"/>
    <n v="285248"/>
    <n v="394123"/>
    <n v="4"/>
  </r>
  <r>
    <n v="1"/>
    <x v="0"/>
    <x v="0"/>
    <x v="1"/>
    <x v="10"/>
    <x v="0"/>
    <x v="3"/>
    <n v="2"/>
    <n v="93477"/>
    <n v="186954"/>
    <n v="102410"/>
    <n v="84544"/>
    <n v="12"/>
  </r>
  <r>
    <n v="1"/>
    <x v="0"/>
    <x v="0"/>
    <x v="1"/>
    <x v="10"/>
    <x v="1"/>
    <x v="4"/>
    <n v="11"/>
    <n v="147018"/>
    <n v="1617198"/>
    <n v="763388"/>
    <n v="853810"/>
    <n v="2"/>
  </r>
  <r>
    <n v="1"/>
    <x v="0"/>
    <x v="0"/>
    <x v="1"/>
    <x v="10"/>
    <x v="1"/>
    <x v="5"/>
    <n v="15"/>
    <n v="37144"/>
    <n v="557160"/>
    <n v="299771"/>
    <n v="257389"/>
    <n v="14"/>
  </r>
  <r>
    <n v="1"/>
    <x v="0"/>
    <x v="0"/>
    <x v="0"/>
    <x v="10"/>
    <x v="1"/>
    <x v="6"/>
    <n v="11"/>
    <n v="31637"/>
    <n v="348007"/>
    <n v="212040"/>
    <n v="135967"/>
    <n v="3"/>
  </r>
  <r>
    <n v="1"/>
    <x v="0"/>
    <x v="0"/>
    <x v="0"/>
    <x v="10"/>
    <x v="1"/>
    <x v="7"/>
    <n v="8"/>
    <n v="145827"/>
    <n v="1166616"/>
    <n v="587624"/>
    <n v="578992"/>
    <n v="2"/>
  </r>
  <r>
    <n v="1"/>
    <x v="0"/>
    <x v="0"/>
    <x v="0"/>
    <x v="10"/>
    <x v="2"/>
    <x v="8"/>
    <n v="3"/>
    <n v="53434"/>
    <n v="160302"/>
    <n v="96224"/>
    <n v="64078"/>
    <n v="1"/>
  </r>
  <r>
    <n v="1"/>
    <x v="0"/>
    <x v="0"/>
    <x v="1"/>
    <x v="10"/>
    <x v="2"/>
    <x v="9"/>
    <n v="19"/>
    <n v="43954"/>
    <n v="835126"/>
    <n v="539940"/>
    <n v="295186"/>
    <n v="1"/>
  </r>
  <r>
    <n v="1"/>
    <x v="0"/>
    <x v="0"/>
    <x v="1"/>
    <x v="10"/>
    <x v="2"/>
    <x v="10"/>
    <n v="10"/>
    <n v="56668"/>
    <n v="566680"/>
    <n v="232078"/>
    <n v="334602"/>
    <n v="5"/>
  </r>
  <r>
    <n v="1"/>
    <x v="0"/>
    <x v="0"/>
    <x v="1"/>
    <x v="10"/>
    <x v="2"/>
    <x v="11"/>
    <n v="1"/>
    <n v="149668"/>
    <n v="149668"/>
    <n v="80556"/>
    <n v="69112"/>
    <n v="9"/>
  </r>
  <r>
    <n v="1"/>
    <x v="0"/>
    <x v="0"/>
    <x v="1"/>
    <x v="10"/>
    <x v="3"/>
    <x v="12"/>
    <n v="14"/>
    <n v="7593"/>
    <n v="106302"/>
    <n v="46626"/>
    <n v="59676"/>
    <n v="9"/>
  </r>
  <r>
    <n v="1"/>
    <x v="0"/>
    <x v="0"/>
    <x v="1"/>
    <x v="10"/>
    <x v="3"/>
    <x v="13"/>
    <n v="13"/>
    <n v="12240"/>
    <n v="159120"/>
    <n v="68053"/>
    <n v="91067"/>
    <n v="14"/>
  </r>
  <r>
    <n v="1"/>
    <x v="0"/>
    <x v="0"/>
    <x v="1"/>
    <x v="10"/>
    <x v="3"/>
    <x v="14"/>
    <n v="15"/>
    <n v="18367"/>
    <n v="275505"/>
    <n v="182404"/>
    <n v="93101"/>
    <n v="14"/>
  </r>
  <r>
    <n v="1"/>
    <x v="0"/>
    <x v="0"/>
    <x v="1"/>
    <x v="10"/>
    <x v="3"/>
    <x v="15"/>
    <n v="16"/>
    <n v="8644"/>
    <n v="138304"/>
    <n v="55429"/>
    <n v="82875"/>
    <n v="3"/>
  </r>
  <r>
    <n v="1"/>
    <x v="0"/>
    <x v="0"/>
    <x v="0"/>
    <x v="10"/>
    <x v="4"/>
    <x v="16"/>
    <n v="1"/>
    <n v="79399"/>
    <n v="79399"/>
    <n v="49582"/>
    <n v="29817"/>
    <n v="12"/>
  </r>
  <r>
    <n v="1"/>
    <x v="0"/>
    <x v="0"/>
    <x v="0"/>
    <x v="10"/>
    <x v="4"/>
    <x v="17"/>
    <n v="15"/>
    <n v="20302"/>
    <n v="304530"/>
    <n v="155657"/>
    <n v="148873"/>
    <n v="5"/>
  </r>
  <r>
    <n v="1"/>
    <x v="0"/>
    <x v="0"/>
    <x v="0"/>
    <x v="10"/>
    <x v="4"/>
    <x v="18"/>
    <n v="14"/>
    <n v="147449"/>
    <n v="2064286"/>
    <n v="1296343"/>
    <n v="767943"/>
    <n v="13"/>
  </r>
  <r>
    <n v="1"/>
    <x v="0"/>
    <x v="0"/>
    <x v="0"/>
    <x v="10"/>
    <x v="4"/>
    <x v="19"/>
    <n v="2"/>
    <n v="36748"/>
    <n v="73496"/>
    <n v="30772"/>
    <n v="42724"/>
    <n v="10"/>
  </r>
  <r>
    <n v="1"/>
    <x v="0"/>
    <x v="0"/>
    <x v="1"/>
    <x v="11"/>
    <x v="0"/>
    <x v="0"/>
    <n v="19"/>
    <n v="25126"/>
    <n v="477394"/>
    <n v="289372"/>
    <n v="188022"/>
    <n v="6"/>
  </r>
  <r>
    <n v="1"/>
    <x v="0"/>
    <x v="0"/>
    <x v="1"/>
    <x v="11"/>
    <x v="0"/>
    <x v="1"/>
    <n v="14"/>
    <n v="75658"/>
    <n v="1059212"/>
    <n v="592771"/>
    <n v="466441"/>
    <n v="12"/>
  </r>
  <r>
    <n v="1"/>
    <x v="0"/>
    <x v="0"/>
    <x v="0"/>
    <x v="11"/>
    <x v="0"/>
    <x v="2"/>
    <n v="18"/>
    <n v="125977"/>
    <n v="2267586"/>
    <n v="1147951"/>
    <n v="1119635"/>
    <n v="2"/>
  </r>
  <r>
    <n v="1"/>
    <x v="0"/>
    <x v="0"/>
    <x v="0"/>
    <x v="11"/>
    <x v="0"/>
    <x v="3"/>
    <n v="15"/>
    <n v="66271"/>
    <n v="994065"/>
    <n v="477919"/>
    <n v="516146"/>
    <n v="4"/>
  </r>
  <r>
    <n v="1"/>
    <x v="0"/>
    <x v="0"/>
    <x v="1"/>
    <x v="11"/>
    <x v="1"/>
    <x v="4"/>
    <n v="10"/>
    <n v="21062"/>
    <n v="210620"/>
    <n v="104598"/>
    <n v="106022"/>
    <n v="6"/>
  </r>
  <r>
    <n v="1"/>
    <x v="0"/>
    <x v="0"/>
    <x v="0"/>
    <x v="11"/>
    <x v="1"/>
    <x v="5"/>
    <n v="12"/>
    <n v="24632"/>
    <n v="295584"/>
    <n v="197201"/>
    <n v="98383"/>
    <n v="3"/>
  </r>
  <r>
    <n v="1"/>
    <x v="0"/>
    <x v="0"/>
    <x v="0"/>
    <x v="11"/>
    <x v="1"/>
    <x v="6"/>
    <n v="4"/>
    <n v="27561"/>
    <n v="110244"/>
    <n v="70198"/>
    <n v="40046"/>
    <n v="12"/>
  </r>
  <r>
    <n v="1"/>
    <x v="0"/>
    <x v="0"/>
    <x v="0"/>
    <x v="11"/>
    <x v="1"/>
    <x v="7"/>
    <n v="18"/>
    <n v="46734"/>
    <n v="841212"/>
    <n v="483915"/>
    <n v="357297"/>
    <n v="5"/>
  </r>
  <r>
    <n v="1"/>
    <x v="0"/>
    <x v="0"/>
    <x v="0"/>
    <x v="11"/>
    <x v="2"/>
    <x v="8"/>
    <n v="2"/>
    <n v="32910"/>
    <n v="65820"/>
    <n v="41047"/>
    <n v="24773"/>
    <n v="0"/>
  </r>
  <r>
    <n v="1"/>
    <x v="0"/>
    <x v="0"/>
    <x v="0"/>
    <x v="11"/>
    <x v="2"/>
    <x v="9"/>
    <n v="12"/>
    <n v="92274"/>
    <n v="1107288"/>
    <n v="568738"/>
    <n v="538550"/>
    <n v="4"/>
  </r>
  <r>
    <n v="1"/>
    <x v="0"/>
    <x v="0"/>
    <x v="1"/>
    <x v="11"/>
    <x v="2"/>
    <x v="10"/>
    <n v="6"/>
    <n v="104659"/>
    <n v="627954"/>
    <n v="372863"/>
    <n v="255091"/>
    <n v="1"/>
  </r>
  <r>
    <n v="1"/>
    <x v="0"/>
    <x v="0"/>
    <x v="1"/>
    <x v="11"/>
    <x v="2"/>
    <x v="11"/>
    <n v="13"/>
    <n v="132581"/>
    <n v="1723553"/>
    <n v="1002646"/>
    <n v="720907"/>
    <n v="0"/>
  </r>
  <r>
    <n v="1"/>
    <x v="0"/>
    <x v="0"/>
    <x v="1"/>
    <x v="11"/>
    <x v="3"/>
    <x v="12"/>
    <n v="6"/>
    <n v="6605"/>
    <n v="39630"/>
    <n v="18776"/>
    <n v="20854"/>
    <n v="3"/>
  </r>
  <r>
    <n v="1"/>
    <x v="0"/>
    <x v="0"/>
    <x v="0"/>
    <x v="11"/>
    <x v="3"/>
    <x v="13"/>
    <n v="11"/>
    <n v="8517"/>
    <n v="93687"/>
    <n v="45487"/>
    <n v="48200"/>
    <n v="14"/>
  </r>
  <r>
    <n v="1"/>
    <x v="0"/>
    <x v="0"/>
    <x v="0"/>
    <x v="11"/>
    <x v="3"/>
    <x v="14"/>
    <n v="9"/>
    <n v="18046"/>
    <n v="162414"/>
    <n v="67481"/>
    <n v="94933"/>
    <n v="14"/>
  </r>
  <r>
    <n v="1"/>
    <x v="0"/>
    <x v="0"/>
    <x v="0"/>
    <x v="11"/>
    <x v="3"/>
    <x v="15"/>
    <n v="8"/>
    <n v="9324"/>
    <n v="74592"/>
    <n v="51820"/>
    <n v="22772"/>
    <n v="14"/>
  </r>
  <r>
    <n v="1"/>
    <x v="0"/>
    <x v="0"/>
    <x v="0"/>
    <x v="11"/>
    <x v="4"/>
    <x v="16"/>
    <n v="6"/>
    <n v="142177"/>
    <n v="853062"/>
    <n v="488633"/>
    <n v="364429"/>
    <n v="10"/>
  </r>
  <r>
    <n v="1"/>
    <x v="0"/>
    <x v="0"/>
    <x v="1"/>
    <x v="11"/>
    <x v="4"/>
    <x v="17"/>
    <n v="4"/>
    <n v="107886"/>
    <n v="431544"/>
    <n v="278398"/>
    <n v="153146"/>
    <n v="0"/>
  </r>
  <r>
    <n v="1"/>
    <x v="0"/>
    <x v="0"/>
    <x v="0"/>
    <x v="11"/>
    <x v="4"/>
    <x v="18"/>
    <n v="6"/>
    <n v="33234"/>
    <n v="199404"/>
    <n v="128866"/>
    <n v="70538"/>
    <n v="1"/>
  </r>
  <r>
    <n v="1"/>
    <x v="0"/>
    <x v="0"/>
    <x v="1"/>
    <x v="11"/>
    <x v="4"/>
    <x v="19"/>
    <n v="15"/>
    <n v="30954"/>
    <n v="464310"/>
    <n v="265345"/>
    <n v="198965"/>
    <n v="2"/>
  </r>
  <r>
    <n v="2"/>
    <x v="1"/>
    <x v="1"/>
    <x v="2"/>
    <x v="0"/>
    <x v="0"/>
    <x v="0"/>
    <n v="13"/>
    <n v="117579"/>
    <n v="1528527"/>
    <n v="705450"/>
    <n v="823077"/>
    <n v="9"/>
  </r>
  <r>
    <n v="2"/>
    <x v="1"/>
    <x v="1"/>
    <x v="2"/>
    <x v="0"/>
    <x v="0"/>
    <x v="1"/>
    <n v="4"/>
    <n v="111922"/>
    <n v="447688"/>
    <n v="205870"/>
    <n v="241818"/>
    <n v="3"/>
  </r>
  <r>
    <n v="2"/>
    <x v="1"/>
    <x v="1"/>
    <x v="2"/>
    <x v="0"/>
    <x v="0"/>
    <x v="2"/>
    <n v="17"/>
    <n v="124587"/>
    <n v="2117979"/>
    <n v="920158"/>
    <n v="1197821"/>
    <n v="9"/>
  </r>
  <r>
    <n v="2"/>
    <x v="1"/>
    <x v="1"/>
    <x v="2"/>
    <x v="0"/>
    <x v="0"/>
    <x v="3"/>
    <n v="14"/>
    <n v="130911"/>
    <n v="1832754"/>
    <n v="781096"/>
    <n v="1051658"/>
    <n v="13"/>
  </r>
  <r>
    <n v="2"/>
    <x v="1"/>
    <x v="1"/>
    <x v="3"/>
    <x v="0"/>
    <x v="1"/>
    <x v="4"/>
    <n v="11"/>
    <n v="52254"/>
    <n v="574794"/>
    <n v="312884"/>
    <n v="261910"/>
    <n v="10"/>
  </r>
  <r>
    <n v="2"/>
    <x v="1"/>
    <x v="1"/>
    <x v="3"/>
    <x v="0"/>
    <x v="1"/>
    <x v="5"/>
    <n v="3"/>
    <n v="40128"/>
    <n v="120384"/>
    <n v="61488"/>
    <n v="58896"/>
    <n v="7"/>
  </r>
  <r>
    <n v="2"/>
    <x v="1"/>
    <x v="1"/>
    <x v="3"/>
    <x v="0"/>
    <x v="1"/>
    <x v="6"/>
    <n v="10"/>
    <n v="102180"/>
    <n v="1021800"/>
    <n v="428146"/>
    <n v="593654"/>
    <n v="11"/>
  </r>
  <r>
    <n v="2"/>
    <x v="1"/>
    <x v="1"/>
    <x v="2"/>
    <x v="0"/>
    <x v="1"/>
    <x v="7"/>
    <n v="2"/>
    <n v="136748"/>
    <n v="273496"/>
    <n v="165566"/>
    <n v="107930"/>
    <n v="3"/>
  </r>
  <r>
    <n v="2"/>
    <x v="1"/>
    <x v="1"/>
    <x v="2"/>
    <x v="0"/>
    <x v="2"/>
    <x v="8"/>
    <n v="1"/>
    <n v="21342"/>
    <n v="21342"/>
    <n v="12900"/>
    <n v="8442"/>
    <n v="0"/>
  </r>
  <r>
    <n v="2"/>
    <x v="1"/>
    <x v="1"/>
    <x v="2"/>
    <x v="0"/>
    <x v="2"/>
    <x v="9"/>
    <n v="9"/>
    <n v="136682"/>
    <n v="1230138"/>
    <n v="666673"/>
    <n v="563465"/>
    <n v="5"/>
  </r>
  <r>
    <n v="2"/>
    <x v="1"/>
    <x v="1"/>
    <x v="3"/>
    <x v="0"/>
    <x v="2"/>
    <x v="10"/>
    <n v="3"/>
    <n v="113789"/>
    <n v="341367"/>
    <n v="147473"/>
    <n v="193894"/>
    <n v="4"/>
  </r>
  <r>
    <n v="2"/>
    <x v="1"/>
    <x v="1"/>
    <x v="3"/>
    <x v="0"/>
    <x v="2"/>
    <x v="11"/>
    <n v="12"/>
    <n v="62929"/>
    <n v="755148"/>
    <n v="330218"/>
    <n v="424930"/>
    <n v="7"/>
  </r>
  <r>
    <n v="2"/>
    <x v="1"/>
    <x v="1"/>
    <x v="3"/>
    <x v="0"/>
    <x v="3"/>
    <x v="12"/>
    <n v="11"/>
    <n v="10256"/>
    <n v="112816"/>
    <n v="52064"/>
    <n v="60752"/>
    <n v="2"/>
  </r>
  <r>
    <n v="2"/>
    <x v="1"/>
    <x v="1"/>
    <x v="3"/>
    <x v="0"/>
    <x v="3"/>
    <x v="13"/>
    <n v="3"/>
    <n v="7560"/>
    <n v="22680"/>
    <n v="14114"/>
    <n v="8566"/>
    <n v="5"/>
  </r>
  <r>
    <n v="2"/>
    <x v="1"/>
    <x v="1"/>
    <x v="3"/>
    <x v="0"/>
    <x v="3"/>
    <x v="14"/>
    <n v="8"/>
    <n v="17042"/>
    <n v="136336"/>
    <n v="87061"/>
    <n v="49275"/>
    <n v="13"/>
  </r>
  <r>
    <n v="2"/>
    <x v="1"/>
    <x v="1"/>
    <x v="2"/>
    <x v="0"/>
    <x v="3"/>
    <x v="15"/>
    <n v="3"/>
    <n v="9820"/>
    <n v="29460"/>
    <n v="13431"/>
    <n v="16029"/>
    <n v="2"/>
  </r>
  <r>
    <n v="2"/>
    <x v="1"/>
    <x v="1"/>
    <x v="2"/>
    <x v="0"/>
    <x v="4"/>
    <x v="16"/>
    <n v="14"/>
    <n v="125881"/>
    <n v="1762334"/>
    <n v="1184922"/>
    <n v="577412"/>
    <n v="8"/>
  </r>
  <r>
    <n v="2"/>
    <x v="1"/>
    <x v="1"/>
    <x v="2"/>
    <x v="0"/>
    <x v="4"/>
    <x v="17"/>
    <n v="13"/>
    <n v="102985"/>
    <n v="1338805"/>
    <n v="693144"/>
    <n v="645661"/>
    <n v="7"/>
  </r>
  <r>
    <n v="2"/>
    <x v="1"/>
    <x v="1"/>
    <x v="3"/>
    <x v="0"/>
    <x v="4"/>
    <x v="18"/>
    <n v="8"/>
    <n v="95046"/>
    <n v="760368"/>
    <n v="466968"/>
    <n v="293400"/>
    <n v="2"/>
  </r>
  <r>
    <n v="2"/>
    <x v="1"/>
    <x v="1"/>
    <x v="2"/>
    <x v="0"/>
    <x v="4"/>
    <x v="19"/>
    <n v="6"/>
    <n v="91520"/>
    <n v="549120"/>
    <n v="342806"/>
    <n v="206314"/>
    <n v="14"/>
  </r>
  <r>
    <n v="2"/>
    <x v="1"/>
    <x v="1"/>
    <x v="3"/>
    <x v="1"/>
    <x v="0"/>
    <x v="0"/>
    <n v="1"/>
    <n v="39096"/>
    <n v="39096"/>
    <n v="19806"/>
    <n v="19290"/>
    <n v="14"/>
  </r>
  <r>
    <n v="2"/>
    <x v="1"/>
    <x v="1"/>
    <x v="2"/>
    <x v="1"/>
    <x v="0"/>
    <x v="1"/>
    <n v="2"/>
    <n v="38381"/>
    <n v="76762"/>
    <n v="32238"/>
    <n v="44524"/>
    <n v="7"/>
  </r>
  <r>
    <n v="2"/>
    <x v="1"/>
    <x v="1"/>
    <x v="2"/>
    <x v="1"/>
    <x v="0"/>
    <x v="2"/>
    <n v="19"/>
    <n v="31302"/>
    <n v="594738"/>
    <n v="258752"/>
    <n v="335986"/>
    <n v="5"/>
  </r>
  <r>
    <n v="2"/>
    <x v="1"/>
    <x v="1"/>
    <x v="3"/>
    <x v="1"/>
    <x v="0"/>
    <x v="3"/>
    <n v="3"/>
    <n v="116646"/>
    <n v="349938"/>
    <n v="216669"/>
    <n v="133269"/>
    <n v="9"/>
  </r>
  <r>
    <n v="2"/>
    <x v="1"/>
    <x v="1"/>
    <x v="3"/>
    <x v="1"/>
    <x v="1"/>
    <x v="4"/>
    <n v="15"/>
    <n v="140430"/>
    <n v="2106450"/>
    <n v="1234425"/>
    <n v="872025"/>
    <n v="3"/>
  </r>
  <r>
    <n v="2"/>
    <x v="1"/>
    <x v="1"/>
    <x v="3"/>
    <x v="1"/>
    <x v="1"/>
    <x v="5"/>
    <n v="7"/>
    <n v="20922"/>
    <n v="146454"/>
    <n v="93229"/>
    <n v="53225"/>
    <n v="5"/>
  </r>
  <r>
    <n v="2"/>
    <x v="1"/>
    <x v="1"/>
    <x v="3"/>
    <x v="1"/>
    <x v="1"/>
    <x v="6"/>
    <n v="1"/>
    <n v="64028"/>
    <n v="64028"/>
    <n v="30384"/>
    <n v="33644"/>
    <n v="6"/>
  </r>
  <r>
    <n v="2"/>
    <x v="1"/>
    <x v="1"/>
    <x v="2"/>
    <x v="1"/>
    <x v="1"/>
    <x v="7"/>
    <n v="1"/>
    <n v="123677"/>
    <n v="123677"/>
    <n v="57060"/>
    <n v="66617"/>
    <n v="1"/>
  </r>
  <r>
    <n v="2"/>
    <x v="1"/>
    <x v="1"/>
    <x v="3"/>
    <x v="1"/>
    <x v="2"/>
    <x v="8"/>
    <n v="10"/>
    <n v="122916"/>
    <n v="1229160"/>
    <n v="814969"/>
    <n v="414191"/>
    <n v="0"/>
  </r>
  <r>
    <n v="2"/>
    <x v="1"/>
    <x v="1"/>
    <x v="3"/>
    <x v="1"/>
    <x v="2"/>
    <x v="9"/>
    <n v="6"/>
    <n v="75180"/>
    <n v="451080"/>
    <n v="195403"/>
    <n v="255677"/>
    <n v="3"/>
  </r>
  <r>
    <n v="2"/>
    <x v="1"/>
    <x v="1"/>
    <x v="3"/>
    <x v="1"/>
    <x v="2"/>
    <x v="10"/>
    <n v="13"/>
    <n v="91895"/>
    <n v="1194635"/>
    <n v="694306"/>
    <n v="500329"/>
    <n v="14"/>
  </r>
  <r>
    <n v="2"/>
    <x v="1"/>
    <x v="1"/>
    <x v="3"/>
    <x v="1"/>
    <x v="2"/>
    <x v="11"/>
    <n v="8"/>
    <n v="84772"/>
    <n v="678176"/>
    <n v="370221"/>
    <n v="307955"/>
    <n v="3"/>
  </r>
  <r>
    <n v="2"/>
    <x v="1"/>
    <x v="1"/>
    <x v="3"/>
    <x v="1"/>
    <x v="3"/>
    <x v="12"/>
    <n v="12"/>
    <n v="8756"/>
    <n v="105072"/>
    <n v="64725"/>
    <n v="40347"/>
    <n v="14"/>
  </r>
  <r>
    <n v="2"/>
    <x v="1"/>
    <x v="1"/>
    <x v="3"/>
    <x v="1"/>
    <x v="3"/>
    <x v="13"/>
    <n v="19"/>
    <n v="11898"/>
    <n v="226062"/>
    <n v="128776"/>
    <n v="97286"/>
    <n v="9"/>
  </r>
  <r>
    <n v="2"/>
    <x v="1"/>
    <x v="1"/>
    <x v="2"/>
    <x v="1"/>
    <x v="3"/>
    <x v="14"/>
    <n v="11"/>
    <n v="7116"/>
    <n v="78276"/>
    <n v="50725"/>
    <n v="27551"/>
    <n v="13"/>
  </r>
  <r>
    <n v="2"/>
    <x v="1"/>
    <x v="1"/>
    <x v="2"/>
    <x v="1"/>
    <x v="3"/>
    <x v="15"/>
    <n v="10"/>
    <n v="16111"/>
    <n v="161110"/>
    <n v="92641"/>
    <n v="68469"/>
    <n v="7"/>
  </r>
  <r>
    <n v="2"/>
    <x v="1"/>
    <x v="1"/>
    <x v="3"/>
    <x v="1"/>
    <x v="4"/>
    <x v="16"/>
    <n v="15"/>
    <n v="135033"/>
    <n v="2025495"/>
    <n v="1385813"/>
    <n v="639682"/>
    <n v="11"/>
  </r>
  <r>
    <n v="2"/>
    <x v="1"/>
    <x v="1"/>
    <x v="2"/>
    <x v="1"/>
    <x v="4"/>
    <x v="17"/>
    <n v="13"/>
    <n v="93319"/>
    <n v="1213147"/>
    <n v="669373"/>
    <n v="543774"/>
    <n v="8"/>
  </r>
  <r>
    <n v="2"/>
    <x v="1"/>
    <x v="1"/>
    <x v="2"/>
    <x v="1"/>
    <x v="4"/>
    <x v="18"/>
    <n v="1"/>
    <n v="76942"/>
    <n v="76942"/>
    <n v="47536"/>
    <n v="29406"/>
    <n v="10"/>
  </r>
  <r>
    <n v="2"/>
    <x v="1"/>
    <x v="1"/>
    <x v="2"/>
    <x v="1"/>
    <x v="4"/>
    <x v="19"/>
    <n v="12"/>
    <n v="59915"/>
    <n v="718980"/>
    <n v="409487"/>
    <n v="309493"/>
    <n v="3"/>
  </r>
  <r>
    <n v="2"/>
    <x v="1"/>
    <x v="1"/>
    <x v="2"/>
    <x v="2"/>
    <x v="0"/>
    <x v="0"/>
    <n v="5"/>
    <n v="80279"/>
    <n v="401395"/>
    <n v="163330"/>
    <n v="238065"/>
    <n v="14"/>
  </r>
  <r>
    <n v="2"/>
    <x v="1"/>
    <x v="1"/>
    <x v="3"/>
    <x v="2"/>
    <x v="0"/>
    <x v="1"/>
    <n v="10"/>
    <n v="47632"/>
    <n v="476320"/>
    <n v="272877"/>
    <n v="203443"/>
    <n v="9"/>
  </r>
  <r>
    <n v="2"/>
    <x v="1"/>
    <x v="1"/>
    <x v="3"/>
    <x v="2"/>
    <x v="0"/>
    <x v="2"/>
    <n v="9"/>
    <n v="139797"/>
    <n v="1258173"/>
    <n v="532454"/>
    <n v="725719"/>
    <n v="13"/>
  </r>
  <r>
    <n v="2"/>
    <x v="1"/>
    <x v="1"/>
    <x v="3"/>
    <x v="2"/>
    <x v="0"/>
    <x v="3"/>
    <n v="8"/>
    <n v="88904"/>
    <n v="711232"/>
    <n v="481980"/>
    <n v="229252"/>
    <n v="6"/>
  </r>
  <r>
    <n v="2"/>
    <x v="1"/>
    <x v="1"/>
    <x v="2"/>
    <x v="2"/>
    <x v="1"/>
    <x v="4"/>
    <n v="1"/>
    <n v="96589"/>
    <n v="96589"/>
    <n v="45471"/>
    <n v="51118"/>
    <n v="9"/>
  </r>
  <r>
    <n v="2"/>
    <x v="1"/>
    <x v="1"/>
    <x v="3"/>
    <x v="2"/>
    <x v="1"/>
    <x v="5"/>
    <n v="14"/>
    <n v="67523"/>
    <n v="945322"/>
    <n v="413482"/>
    <n v="531840"/>
    <n v="8"/>
  </r>
  <r>
    <n v="2"/>
    <x v="1"/>
    <x v="1"/>
    <x v="2"/>
    <x v="2"/>
    <x v="1"/>
    <x v="6"/>
    <n v="1"/>
    <n v="120158"/>
    <n v="120158"/>
    <n v="59289"/>
    <n v="60869"/>
    <n v="2"/>
  </r>
  <r>
    <n v="2"/>
    <x v="1"/>
    <x v="1"/>
    <x v="3"/>
    <x v="2"/>
    <x v="1"/>
    <x v="7"/>
    <n v="8"/>
    <n v="83374"/>
    <n v="666992"/>
    <n v="346636"/>
    <n v="320356"/>
    <n v="8"/>
  </r>
  <r>
    <n v="2"/>
    <x v="1"/>
    <x v="1"/>
    <x v="2"/>
    <x v="2"/>
    <x v="2"/>
    <x v="8"/>
    <n v="9"/>
    <n v="77545"/>
    <n v="697905"/>
    <n v="447256"/>
    <n v="250649"/>
    <n v="4"/>
  </r>
  <r>
    <n v="2"/>
    <x v="1"/>
    <x v="1"/>
    <x v="2"/>
    <x v="2"/>
    <x v="2"/>
    <x v="9"/>
    <n v="9"/>
    <n v="60738"/>
    <n v="546642"/>
    <n v="283953"/>
    <n v="262689"/>
    <n v="8"/>
  </r>
  <r>
    <n v="2"/>
    <x v="1"/>
    <x v="1"/>
    <x v="3"/>
    <x v="2"/>
    <x v="2"/>
    <x v="10"/>
    <n v="11"/>
    <n v="93509"/>
    <n v="1028599"/>
    <n v="518314"/>
    <n v="510285"/>
    <n v="1"/>
  </r>
  <r>
    <n v="2"/>
    <x v="1"/>
    <x v="1"/>
    <x v="3"/>
    <x v="2"/>
    <x v="2"/>
    <x v="11"/>
    <n v="2"/>
    <n v="141178"/>
    <n v="282356"/>
    <n v="151248"/>
    <n v="131108"/>
    <n v="10"/>
  </r>
  <r>
    <n v="2"/>
    <x v="1"/>
    <x v="1"/>
    <x v="3"/>
    <x v="2"/>
    <x v="3"/>
    <x v="12"/>
    <n v="12"/>
    <n v="18050"/>
    <n v="216600"/>
    <n v="95792"/>
    <n v="120808"/>
    <n v="7"/>
  </r>
  <r>
    <n v="2"/>
    <x v="1"/>
    <x v="1"/>
    <x v="3"/>
    <x v="2"/>
    <x v="3"/>
    <x v="13"/>
    <n v="7"/>
    <n v="10299"/>
    <n v="72093"/>
    <n v="37897"/>
    <n v="34196"/>
    <n v="7"/>
  </r>
  <r>
    <n v="2"/>
    <x v="1"/>
    <x v="1"/>
    <x v="3"/>
    <x v="2"/>
    <x v="3"/>
    <x v="14"/>
    <n v="1"/>
    <n v="11320"/>
    <n v="11320"/>
    <n v="7178"/>
    <n v="4142"/>
    <n v="10"/>
  </r>
  <r>
    <n v="2"/>
    <x v="1"/>
    <x v="1"/>
    <x v="2"/>
    <x v="2"/>
    <x v="3"/>
    <x v="15"/>
    <n v="18"/>
    <n v="10588"/>
    <n v="190584"/>
    <n v="105688"/>
    <n v="84896"/>
    <n v="0"/>
  </r>
  <r>
    <n v="2"/>
    <x v="1"/>
    <x v="1"/>
    <x v="3"/>
    <x v="2"/>
    <x v="4"/>
    <x v="16"/>
    <n v="9"/>
    <n v="69840"/>
    <n v="628560"/>
    <n v="356513"/>
    <n v="272047"/>
    <n v="5"/>
  </r>
  <r>
    <n v="2"/>
    <x v="1"/>
    <x v="1"/>
    <x v="3"/>
    <x v="2"/>
    <x v="4"/>
    <x v="17"/>
    <n v="8"/>
    <n v="141392"/>
    <n v="1131136"/>
    <n v="554119"/>
    <n v="577017"/>
    <n v="12"/>
  </r>
  <r>
    <n v="2"/>
    <x v="1"/>
    <x v="1"/>
    <x v="3"/>
    <x v="2"/>
    <x v="4"/>
    <x v="18"/>
    <n v="19"/>
    <n v="44442"/>
    <n v="844398"/>
    <n v="540359"/>
    <n v="304039"/>
    <n v="13"/>
  </r>
  <r>
    <n v="2"/>
    <x v="1"/>
    <x v="1"/>
    <x v="2"/>
    <x v="2"/>
    <x v="4"/>
    <x v="19"/>
    <n v="17"/>
    <n v="106444"/>
    <n v="1809548"/>
    <n v="928873"/>
    <n v="880675"/>
    <n v="7"/>
  </r>
  <r>
    <n v="2"/>
    <x v="1"/>
    <x v="1"/>
    <x v="2"/>
    <x v="3"/>
    <x v="0"/>
    <x v="0"/>
    <n v="19"/>
    <n v="38449"/>
    <n v="730531"/>
    <n v="356655"/>
    <n v="373876"/>
    <n v="2"/>
  </r>
  <r>
    <n v="2"/>
    <x v="1"/>
    <x v="1"/>
    <x v="3"/>
    <x v="3"/>
    <x v="0"/>
    <x v="1"/>
    <n v="15"/>
    <n v="145937"/>
    <n v="2189055"/>
    <n v="1219997"/>
    <n v="969058"/>
    <n v="11"/>
  </r>
  <r>
    <n v="2"/>
    <x v="1"/>
    <x v="1"/>
    <x v="2"/>
    <x v="3"/>
    <x v="0"/>
    <x v="2"/>
    <n v="17"/>
    <n v="46737"/>
    <n v="794529"/>
    <n v="436278"/>
    <n v="358251"/>
    <n v="2"/>
  </r>
  <r>
    <n v="2"/>
    <x v="1"/>
    <x v="1"/>
    <x v="3"/>
    <x v="3"/>
    <x v="0"/>
    <x v="3"/>
    <n v="4"/>
    <n v="75168"/>
    <n v="300672"/>
    <n v="150428"/>
    <n v="150244"/>
    <n v="6"/>
  </r>
  <r>
    <n v="2"/>
    <x v="1"/>
    <x v="1"/>
    <x v="2"/>
    <x v="3"/>
    <x v="1"/>
    <x v="4"/>
    <n v="7"/>
    <n v="68770"/>
    <n v="481390"/>
    <n v="246468"/>
    <n v="234922"/>
    <n v="9"/>
  </r>
  <r>
    <n v="2"/>
    <x v="1"/>
    <x v="1"/>
    <x v="3"/>
    <x v="3"/>
    <x v="1"/>
    <x v="5"/>
    <n v="19"/>
    <n v="95629"/>
    <n v="1816951"/>
    <n v="1013810"/>
    <n v="803141"/>
    <n v="0"/>
  </r>
  <r>
    <n v="2"/>
    <x v="1"/>
    <x v="1"/>
    <x v="2"/>
    <x v="3"/>
    <x v="1"/>
    <x v="6"/>
    <n v="18"/>
    <n v="105382"/>
    <n v="1896876"/>
    <n v="1133719"/>
    <n v="763157"/>
    <n v="0"/>
  </r>
  <r>
    <n v="2"/>
    <x v="1"/>
    <x v="1"/>
    <x v="2"/>
    <x v="3"/>
    <x v="1"/>
    <x v="7"/>
    <n v="3"/>
    <n v="132599"/>
    <n v="397797"/>
    <n v="182522"/>
    <n v="215275"/>
    <n v="14"/>
  </r>
  <r>
    <n v="2"/>
    <x v="1"/>
    <x v="1"/>
    <x v="3"/>
    <x v="3"/>
    <x v="2"/>
    <x v="8"/>
    <n v="8"/>
    <n v="76373"/>
    <n v="610984"/>
    <n v="306580"/>
    <n v="304404"/>
    <n v="4"/>
  </r>
  <r>
    <n v="2"/>
    <x v="1"/>
    <x v="1"/>
    <x v="2"/>
    <x v="3"/>
    <x v="2"/>
    <x v="9"/>
    <n v="3"/>
    <n v="59986"/>
    <n v="179958"/>
    <n v="107223"/>
    <n v="72735"/>
    <n v="14"/>
  </r>
  <r>
    <n v="2"/>
    <x v="1"/>
    <x v="1"/>
    <x v="3"/>
    <x v="3"/>
    <x v="2"/>
    <x v="10"/>
    <n v="8"/>
    <n v="84929"/>
    <n v="679432"/>
    <n v="435919"/>
    <n v="243513"/>
    <n v="7"/>
  </r>
  <r>
    <n v="2"/>
    <x v="1"/>
    <x v="1"/>
    <x v="2"/>
    <x v="3"/>
    <x v="2"/>
    <x v="11"/>
    <n v="14"/>
    <n v="95039"/>
    <n v="1330546"/>
    <n v="873781"/>
    <n v="456765"/>
    <n v="10"/>
  </r>
  <r>
    <n v="2"/>
    <x v="1"/>
    <x v="1"/>
    <x v="2"/>
    <x v="3"/>
    <x v="3"/>
    <x v="12"/>
    <n v="16"/>
    <n v="9547"/>
    <n v="152752"/>
    <n v="104378"/>
    <n v="48374"/>
    <n v="5"/>
  </r>
  <r>
    <n v="2"/>
    <x v="1"/>
    <x v="1"/>
    <x v="2"/>
    <x v="3"/>
    <x v="3"/>
    <x v="13"/>
    <n v="14"/>
    <n v="5822"/>
    <n v="81508"/>
    <n v="54520"/>
    <n v="26988"/>
    <n v="6"/>
  </r>
  <r>
    <n v="2"/>
    <x v="1"/>
    <x v="1"/>
    <x v="2"/>
    <x v="3"/>
    <x v="3"/>
    <x v="14"/>
    <n v="10"/>
    <n v="13966"/>
    <n v="139660"/>
    <n v="86696"/>
    <n v="52964"/>
    <n v="4"/>
  </r>
  <r>
    <n v="2"/>
    <x v="1"/>
    <x v="1"/>
    <x v="3"/>
    <x v="3"/>
    <x v="3"/>
    <x v="15"/>
    <n v="19"/>
    <n v="8695"/>
    <n v="165205"/>
    <n v="75074"/>
    <n v="90131"/>
    <n v="3"/>
  </r>
  <r>
    <n v="2"/>
    <x v="1"/>
    <x v="1"/>
    <x v="2"/>
    <x v="3"/>
    <x v="4"/>
    <x v="16"/>
    <n v="18"/>
    <n v="28705"/>
    <n v="516690"/>
    <n v="347829"/>
    <n v="168861"/>
    <n v="4"/>
  </r>
  <r>
    <n v="2"/>
    <x v="1"/>
    <x v="1"/>
    <x v="3"/>
    <x v="3"/>
    <x v="4"/>
    <x v="17"/>
    <n v="11"/>
    <n v="123145"/>
    <n v="1354595"/>
    <n v="877143"/>
    <n v="477452"/>
    <n v="2"/>
  </r>
  <r>
    <n v="2"/>
    <x v="1"/>
    <x v="1"/>
    <x v="2"/>
    <x v="3"/>
    <x v="4"/>
    <x v="18"/>
    <n v="12"/>
    <n v="136243"/>
    <n v="1634916"/>
    <n v="960095"/>
    <n v="674821"/>
    <n v="5"/>
  </r>
  <r>
    <n v="2"/>
    <x v="1"/>
    <x v="1"/>
    <x v="2"/>
    <x v="3"/>
    <x v="4"/>
    <x v="19"/>
    <n v="9"/>
    <n v="82516"/>
    <n v="742644"/>
    <n v="362662"/>
    <n v="379982"/>
    <n v="3"/>
  </r>
  <r>
    <n v="2"/>
    <x v="1"/>
    <x v="1"/>
    <x v="3"/>
    <x v="4"/>
    <x v="0"/>
    <x v="0"/>
    <n v="12"/>
    <n v="49975"/>
    <n v="599700"/>
    <n v="260432"/>
    <n v="339268"/>
    <n v="13"/>
  </r>
  <r>
    <n v="2"/>
    <x v="1"/>
    <x v="1"/>
    <x v="2"/>
    <x v="4"/>
    <x v="0"/>
    <x v="1"/>
    <n v="14"/>
    <n v="134390"/>
    <n v="1881460"/>
    <n v="1204052"/>
    <n v="677408"/>
    <n v="0"/>
  </r>
  <r>
    <n v="2"/>
    <x v="1"/>
    <x v="1"/>
    <x v="3"/>
    <x v="4"/>
    <x v="0"/>
    <x v="2"/>
    <n v="18"/>
    <n v="55954"/>
    <n v="1007172"/>
    <n v="557708"/>
    <n v="449464"/>
    <n v="8"/>
  </r>
  <r>
    <n v="2"/>
    <x v="1"/>
    <x v="1"/>
    <x v="2"/>
    <x v="4"/>
    <x v="0"/>
    <x v="3"/>
    <n v="8"/>
    <n v="122337"/>
    <n v="978696"/>
    <n v="577473"/>
    <n v="401223"/>
    <n v="6"/>
  </r>
  <r>
    <n v="2"/>
    <x v="1"/>
    <x v="1"/>
    <x v="2"/>
    <x v="4"/>
    <x v="1"/>
    <x v="4"/>
    <n v="9"/>
    <n v="75029"/>
    <n v="675261"/>
    <n v="400778"/>
    <n v="274483"/>
    <n v="13"/>
  </r>
  <r>
    <n v="2"/>
    <x v="1"/>
    <x v="1"/>
    <x v="3"/>
    <x v="4"/>
    <x v="1"/>
    <x v="5"/>
    <n v="4"/>
    <n v="75961"/>
    <n v="303844"/>
    <n v="169455"/>
    <n v="134389"/>
    <n v="12"/>
  </r>
  <r>
    <n v="2"/>
    <x v="1"/>
    <x v="1"/>
    <x v="2"/>
    <x v="4"/>
    <x v="1"/>
    <x v="6"/>
    <n v="2"/>
    <n v="146678"/>
    <n v="293356"/>
    <n v="177467"/>
    <n v="115889"/>
    <n v="5"/>
  </r>
  <r>
    <n v="2"/>
    <x v="1"/>
    <x v="1"/>
    <x v="3"/>
    <x v="4"/>
    <x v="1"/>
    <x v="7"/>
    <n v="18"/>
    <n v="145055"/>
    <n v="2610990"/>
    <n v="1136630"/>
    <n v="1474360"/>
    <n v="3"/>
  </r>
  <r>
    <n v="2"/>
    <x v="1"/>
    <x v="1"/>
    <x v="3"/>
    <x v="4"/>
    <x v="2"/>
    <x v="8"/>
    <n v="9"/>
    <n v="51653"/>
    <n v="464877"/>
    <n v="195319"/>
    <n v="269558"/>
    <n v="4"/>
  </r>
  <r>
    <n v="2"/>
    <x v="1"/>
    <x v="1"/>
    <x v="3"/>
    <x v="4"/>
    <x v="2"/>
    <x v="9"/>
    <n v="6"/>
    <n v="148377"/>
    <n v="890262"/>
    <n v="548455"/>
    <n v="341807"/>
    <n v="4"/>
  </r>
  <r>
    <n v="2"/>
    <x v="1"/>
    <x v="1"/>
    <x v="2"/>
    <x v="4"/>
    <x v="2"/>
    <x v="10"/>
    <n v="10"/>
    <n v="36725"/>
    <n v="367250"/>
    <n v="161981"/>
    <n v="205269"/>
    <n v="8"/>
  </r>
  <r>
    <n v="2"/>
    <x v="1"/>
    <x v="1"/>
    <x v="3"/>
    <x v="4"/>
    <x v="2"/>
    <x v="11"/>
    <n v="6"/>
    <n v="49402"/>
    <n v="296412"/>
    <n v="171688"/>
    <n v="124724"/>
    <n v="11"/>
  </r>
  <r>
    <n v="2"/>
    <x v="1"/>
    <x v="1"/>
    <x v="2"/>
    <x v="4"/>
    <x v="3"/>
    <x v="12"/>
    <n v="13"/>
    <n v="11136"/>
    <n v="144768"/>
    <n v="79373"/>
    <n v="65395"/>
    <n v="9"/>
  </r>
  <r>
    <n v="2"/>
    <x v="1"/>
    <x v="1"/>
    <x v="3"/>
    <x v="4"/>
    <x v="3"/>
    <x v="13"/>
    <n v="13"/>
    <n v="16664"/>
    <n v="216632"/>
    <n v="113868"/>
    <n v="102764"/>
    <n v="11"/>
  </r>
  <r>
    <n v="2"/>
    <x v="1"/>
    <x v="1"/>
    <x v="3"/>
    <x v="4"/>
    <x v="3"/>
    <x v="14"/>
    <n v="14"/>
    <n v="18887"/>
    <n v="264418"/>
    <n v="133838"/>
    <n v="130580"/>
    <n v="5"/>
  </r>
  <r>
    <n v="2"/>
    <x v="1"/>
    <x v="1"/>
    <x v="2"/>
    <x v="4"/>
    <x v="3"/>
    <x v="15"/>
    <n v="11"/>
    <n v="16968"/>
    <n v="186648"/>
    <n v="79295"/>
    <n v="107353"/>
    <n v="3"/>
  </r>
  <r>
    <n v="2"/>
    <x v="1"/>
    <x v="1"/>
    <x v="2"/>
    <x v="4"/>
    <x v="4"/>
    <x v="16"/>
    <n v="19"/>
    <n v="98617"/>
    <n v="1873723"/>
    <n v="787853"/>
    <n v="1085870"/>
    <n v="10"/>
  </r>
  <r>
    <n v="2"/>
    <x v="1"/>
    <x v="1"/>
    <x v="3"/>
    <x v="4"/>
    <x v="4"/>
    <x v="17"/>
    <n v="8"/>
    <n v="144938"/>
    <n v="1159504"/>
    <n v="587522"/>
    <n v="571982"/>
    <n v="0"/>
  </r>
  <r>
    <n v="2"/>
    <x v="1"/>
    <x v="1"/>
    <x v="2"/>
    <x v="4"/>
    <x v="4"/>
    <x v="18"/>
    <n v="7"/>
    <n v="116999"/>
    <n v="818993"/>
    <n v="466761"/>
    <n v="352232"/>
    <n v="1"/>
  </r>
  <r>
    <n v="2"/>
    <x v="1"/>
    <x v="1"/>
    <x v="3"/>
    <x v="4"/>
    <x v="4"/>
    <x v="19"/>
    <n v="15"/>
    <n v="88247"/>
    <n v="1323705"/>
    <n v="901507"/>
    <n v="422198"/>
    <n v="4"/>
  </r>
  <r>
    <n v="2"/>
    <x v="1"/>
    <x v="1"/>
    <x v="3"/>
    <x v="5"/>
    <x v="0"/>
    <x v="0"/>
    <n v="1"/>
    <n v="79129"/>
    <n v="79129"/>
    <n v="32391"/>
    <n v="46738"/>
    <n v="3"/>
  </r>
  <r>
    <n v="2"/>
    <x v="1"/>
    <x v="1"/>
    <x v="2"/>
    <x v="5"/>
    <x v="0"/>
    <x v="1"/>
    <n v="19"/>
    <n v="87298"/>
    <n v="1658662"/>
    <n v="1082208"/>
    <n v="576454"/>
    <n v="0"/>
  </r>
  <r>
    <n v="2"/>
    <x v="1"/>
    <x v="1"/>
    <x v="3"/>
    <x v="5"/>
    <x v="0"/>
    <x v="2"/>
    <n v="13"/>
    <n v="58890"/>
    <n v="765570"/>
    <n v="382994"/>
    <n v="382576"/>
    <n v="9"/>
  </r>
  <r>
    <n v="2"/>
    <x v="1"/>
    <x v="1"/>
    <x v="3"/>
    <x v="5"/>
    <x v="0"/>
    <x v="3"/>
    <n v="2"/>
    <n v="21524"/>
    <n v="43048"/>
    <n v="21666"/>
    <n v="21382"/>
    <n v="7"/>
  </r>
  <r>
    <n v="2"/>
    <x v="1"/>
    <x v="1"/>
    <x v="2"/>
    <x v="5"/>
    <x v="1"/>
    <x v="4"/>
    <n v="17"/>
    <n v="74912"/>
    <n v="1273504"/>
    <n v="698704"/>
    <n v="574800"/>
    <n v="10"/>
  </r>
  <r>
    <n v="2"/>
    <x v="1"/>
    <x v="1"/>
    <x v="3"/>
    <x v="5"/>
    <x v="1"/>
    <x v="5"/>
    <n v="8"/>
    <n v="75337"/>
    <n v="602696"/>
    <n v="324192"/>
    <n v="278504"/>
    <n v="2"/>
  </r>
  <r>
    <n v="2"/>
    <x v="1"/>
    <x v="1"/>
    <x v="3"/>
    <x v="5"/>
    <x v="1"/>
    <x v="6"/>
    <n v="3"/>
    <n v="48145"/>
    <n v="144435"/>
    <n v="92413"/>
    <n v="52022"/>
    <n v="11"/>
  </r>
  <r>
    <n v="2"/>
    <x v="1"/>
    <x v="1"/>
    <x v="2"/>
    <x v="5"/>
    <x v="1"/>
    <x v="7"/>
    <n v="19"/>
    <n v="105469"/>
    <n v="2003911"/>
    <n v="804722"/>
    <n v="1199189"/>
    <n v="11"/>
  </r>
  <r>
    <n v="2"/>
    <x v="1"/>
    <x v="1"/>
    <x v="2"/>
    <x v="5"/>
    <x v="2"/>
    <x v="8"/>
    <n v="19"/>
    <n v="111748"/>
    <n v="2123212"/>
    <n v="907619"/>
    <n v="1215593"/>
    <n v="10"/>
  </r>
  <r>
    <n v="2"/>
    <x v="1"/>
    <x v="1"/>
    <x v="2"/>
    <x v="5"/>
    <x v="2"/>
    <x v="9"/>
    <n v="17"/>
    <n v="55772"/>
    <n v="948124"/>
    <n v="603958"/>
    <n v="344166"/>
    <n v="8"/>
  </r>
  <r>
    <n v="2"/>
    <x v="1"/>
    <x v="1"/>
    <x v="2"/>
    <x v="5"/>
    <x v="2"/>
    <x v="10"/>
    <n v="17"/>
    <n v="77134"/>
    <n v="1311278"/>
    <n v="558619"/>
    <n v="752659"/>
    <n v="7"/>
  </r>
  <r>
    <n v="2"/>
    <x v="1"/>
    <x v="1"/>
    <x v="2"/>
    <x v="5"/>
    <x v="2"/>
    <x v="11"/>
    <n v="19"/>
    <n v="91431"/>
    <n v="1737189"/>
    <n v="1027868"/>
    <n v="709321"/>
    <n v="0"/>
  </r>
  <r>
    <n v="2"/>
    <x v="1"/>
    <x v="1"/>
    <x v="2"/>
    <x v="5"/>
    <x v="3"/>
    <x v="12"/>
    <n v="5"/>
    <n v="7421"/>
    <n v="37105"/>
    <n v="21935"/>
    <n v="15170"/>
    <n v="7"/>
  </r>
  <r>
    <n v="2"/>
    <x v="1"/>
    <x v="1"/>
    <x v="3"/>
    <x v="5"/>
    <x v="3"/>
    <x v="13"/>
    <n v="18"/>
    <n v="18400"/>
    <n v="331200"/>
    <n v="196732"/>
    <n v="134468"/>
    <n v="10"/>
  </r>
  <r>
    <n v="2"/>
    <x v="1"/>
    <x v="1"/>
    <x v="2"/>
    <x v="5"/>
    <x v="3"/>
    <x v="14"/>
    <n v="9"/>
    <n v="13044"/>
    <n v="117396"/>
    <n v="70552"/>
    <n v="46844"/>
    <n v="9"/>
  </r>
  <r>
    <n v="2"/>
    <x v="1"/>
    <x v="1"/>
    <x v="2"/>
    <x v="5"/>
    <x v="3"/>
    <x v="15"/>
    <n v="16"/>
    <n v="9806"/>
    <n v="156896"/>
    <n v="109796"/>
    <n v="47100"/>
    <n v="9"/>
  </r>
  <r>
    <n v="2"/>
    <x v="1"/>
    <x v="1"/>
    <x v="3"/>
    <x v="5"/>
    <x v="4"/>
    <x v="16"/>
    <n v="7"/>
    <n v="64813"/>
    <n v="453691"/>
    <n v="197880"/>
    <n v="255811"/>
    <n v="6"/>
  </r>
  <r>
    <n v="2"/>
    <x v="1"/>
    <x v="1"/>
    <x v="3"/>
    <x v="5"/>
    <x v="4"/>
    <x v="17"/>
    <n v="9"/>
    <n v="31122"/>
    <n v="280098"/>
    <n v="189715"/>
    <n v="90383"/>
    <n v="1"/>
  </r>
  <r>
    <n v="2"/>
    <x v="1"/>
    <x v="1"/>
    <x v="2"/>
    <x v="5"/>
    <x v="4"/>
    <x v="18"/>
    <n v="18"/>
    <n v="56062"/>
    <n v="1009116"/>
    <n v="664616"/>
    <n v="344500"/>
    <n v="6"/>
  </r>
  <r>
    <n v="2"/>
    <x v="1"/>
    <x v="1"/>
    <x v="3"/>
    <x v="5"/>
    <x v="4"/>
    <x v="19"/>
    <n v="3"/>
    <n v="57265"/>
    <n v="171795"/>
    <n v="95643"/>
    <n v="76152"/>
    <n v="6"/>
  </r>
  <r>
    <n v="2"/>
    <x v="1"/>
    <x v="1"/>
    <x v="3"/>
    <x v="6"/>
    <x v="0"/>
    <x v="0"/>
    <n v="17"/>
    <n v="109613"/>
    <n v="1863421"/>
    <n v="1078698"/>
    <n v="784723"/>
    <n v="2"/>
  </r>
  <r>
    <n v="2"/>
    <x v="1"/>
    <x v="1"/>
    <x v="2"/>
    <x v="6"/>
    <x v="0"/>
    <x v="1"/>
    <n v="12"/>
    <n v="116443"/>
    <n v="1397316"/>
    <n v="760585"/>
    <n v="636731"/>
    <n v="2"/>
  </r>
  <r>
    <n v="2"/>
    <x v="1"/>
    <x v="1"/>
    <x v="3"/>
    <x v="6"/>
    <x v="0"/>
    <x v="2"/>
    <n v="5"/>
    <n v="115402"/>
    <n v="577010"/>
    <n v="289637"/>
    <n v="287373"/>
    <n v="6"/>
  </r>
  <r>
    <n v="2"/>
    <x v="1"/>
    <x v="1"/>
    <x v="2"/>
    <x v="6"/>
    <x v="0"/>
    <x v="3"/>
    <n v="12"/>
    <n v="60998"/>
    <n v="731976"/>
    <n v="362025"/>
    <n v="369951"/>
    <n v="0"/>
  </r>
  <r>
    <n v="2"/>
    <x v="1"/>
    <x v="1"/>
    <x v="2"/>
    <x v="6"/>
    <x v="1"/>
    <x v="4"/>
    <n v="4"/>
    <n v="74620"/>
    <n v="298480"/>
    <n v="178639"/>
    <n v="119841"/>
    <n v="12"/>
  </r>
  <r>
    <n v="2"/>
    <x v="1"/>
    <x v="1"/>
    <x v="2"/>
    <x v="6"/>
    <x v="1"/>
    <x v="5"/>
    <n v="18"/>
    <n v="133824"/>
    <n v="2408832"/>
    <n v="1603784"/>
    <n v="805048"/>
    <n v="9"/>
  </r>
  <r>
    <n v="2"/>
    <x v="1"/>
    <x v="1"/>
    <x v="3"/>
    <x v="6"/>
    <x v="1"/>
    <x v="6"/>
    <n v="12"/>
    <n v="100765"/>
    <n v="1209180"/>
    <n v="635124"/>
    <n v="574056"/>
    <n v="2"/>
  </r>
  <r>
    <n v="2"/>
    <x v="1"/>
    <x v="1"/>
    <x v="2"/>
    <x v="6"/>
    <x v="1"/>
    <x v="7"/>
    <n v="10"/>
    <n v="86081"/>
    <n v="860810"/>
    <n v="349816"/>
    <n v="510994"/>
    <n v="6"/>
  </r>
  <r>
    <n v="2"/>
    <x v="1"/>
    <x v="1"/>
    <x v="3"/>
    <x v="6"/>
    <x v="2"/>
    <x v="8"/>
    <n v="13"/>
    <n v="47788"/>
    <n v="621244"/>
    <n v="320058"/>
    <n v="301186"/>
    <n v="2"/>
  </r>
  <r>
    <n v="2"/>
    <x v="1"/>
    <x v="1"/>
    <x v="3"/>
    <x v="6"/>
    <x v="2"/>
    <x v="9"/>
    <n v="7"/>
    <n v="127309"/>
    <n v="891163"/>
    <n v="450227"/>
    <n v="440936"/>
    <n v="13"/>
  </r>
  <r>
    <n v="2"/>
    <x v="1"/>
    <x v="1"/>
    <x v="3"/>
    <x v="6"/>
    <x v="2"/>
    <x v="10"/>
    <n v="17"/>
    <n v="81916"/>
    <n v="1392572"/>
    <n v="572735"/>
    <n v="819837"/>
    <n v="11"/>
  </r>
  <r>
    <n v="2"/>
    <x v="1"/>
    <x v="1"/>
    <x v="2"/>
    <x v="6"/>
    <x v="2"/>
    <x v="11"/>
    <n v="16"/>
    <n v="105431"/>
    <n v="1686896"/>
    <n v="812250"/>
    <n v="874646"/>
    <n v="8"/>
  </r>
  <r>
    <n v="2"/>
    <x v="1"/>
    <x v="1"/>
    <x v="3"/>
    <x v="6"/>
    <x v="3"/>
    <x v="12"/>
    <n v="10"/>
    <n v="12069"/>
    <n v="120690"/>
    <n v="63402"/>
    <n v="57288"/>
    <n v="6"/>
  </r>
  <r>
    <n v="2"/>
    <x v="1"/>
    <x v="1"/>
    <x v="3"/>
    <x v="6"/>
    <x v="3"/>
    <x v="13"/>
    <n v="5"/>
    <n v="15816"/>
    <n v="79080"/>
    <n v="37296"/>
    <n v="41784"/>
    <n v="2"/>
  </r>
  <r>
    <n v="2"/>
    <x v="1"/>
    <x v="1"/>
    <x v="2"/>
    <x v="6"/>
    <x v="3"/>
    <x v="14"/>
    <n v="13"/>
    <n v="6165"/>
    <n v="80145"/>
    <n v="39198"/>
    <n v="40947"/>
    <n v="1"/>
  </r>
  <r>
    <n v="2"/>
    <x v="1"/>
    <x v="1"/>
    <x v="3"/>
    <x v="6"/>
    <x v="3"/>
    <x v="15"/>
    <n v="4"/>
    <n v="5145"/>
    <n v="20580"/>
    <n v="9674"/>
    <n v="10906"/>
    <n v="8"/>
  </r>
  <r>
    <n v="2"/>
    <x v="1"/>
    <x v="1"/>
    <x v="3"/>
    <x v="6"/>
    <x v="4"/>
    <x v="16"/>
    <n v="16"/>
    <n v="110816"/>
    <n v="1773056"/>
    <n v="1193447"/>
    <n v="579609"/>
    <n v="14"/>
  </r>
  <r>
    <n v="2"/>
    <x v="1"/>
    <x v="1"/>
    <x v="2"/>
    <x v="6"/>
    <x v="4"/>
    <x v="17"/>
    <n v="9"/>
    <n v="24494"/>
    <n v="220446"/>
    <n v="113595"/>
    <n v="106851"/>
    <n v="7"/>
  </r>
  <r>
    <n v="2"/>
    <x v="1"/>
    <x v="1"/>
    <x v="3"/>
    <x v="6"/>
    <x v="4"/>
    <x v="18"/>
    <n v="4"/>
    <n v="117419"/>
    <n v="469676"/>
    <n v="322632"/>
    <n v="147044"/>
    <n v="4"/>
  </r>
  <r>
    <n v="2"/>
    <x v="1"/>
    <x v="1"/>
    <x v="3"/>
    <x v="6"/>
    <x v="4"/>
    <x v="19"/>
    <n v="5"/>
    <n v="127434"/>
    <n v="637170"/>
    <n v="367370"/>
    <n v="269800"/>
    <n v="6"/>
  </r>
  <r>
    <n v="2"/>
    <x v="1"/>
    <x v="1"/>
    <x v="2"/>
    <x v="7"/>
    <x v="0"/>
    <x v="0"/>
    <n v="14"/>
    <n v="146295"/>
    <n v="2048130"/>
    <n v="1106441"/>
    <n v="941689"/>
    <n v="12"/>
  </r>
  <r>
    <n v="2"/>
    <x v="1"/>
    <x v="1"/>
    <x v="2"/>
    <x v="7"/>
    <x v="0"/>
    <x v="1"/>
    <n v="2"/>
    <n v="68280"/>
    <n v="136560"/>
    <n v="85077"/>
    <n v="51483"/>
    <n v="3"/>
  </r>
  <r>
    <n v="2"/>
    <x v="1"/>
    <x v="1"/>
    <x v="3"/>
    <x v="7"/>
    <x v="0"/>
    <x v="2"/>
    <n v="8"/>
    <n v="76979"/>
    <n v="615832"/>
    <n v="401120"/>
    <n v="214712"/>
    <n v="5"/>
  </r>
  <r>
    <n v="2"/>
    <x v="1"/>
    <x v="1"/>
    <x v="2"/>
    <x v="7"/>
    <x v="0"/>
    <x v="3"/>
    <n v="19"/>
    <n v="121868"/>
    <n v="2315492"/>
    <n v="1009789"/>
    <n v="1305703"/>
    <n v="10"/>
  </r>
  <r>
    <n v="2"/>
    <x v="1"/>
    <x v="1"/>
    <x v="3"/>
    <x v="7"/>
    <x v="1"/>
    <x v="4"/>
    <n v="2"/>
    <n v="135512"/>
    <n v="271024"/>
    <n v="126336"/>
    <n v="144688"/>
    <n v="0"/>
  </r>
  <r>
    <n v="2"/>
    <x v="1"/>
    <x v="1"/>
    <x v="3"/>
    <x v="7"/>
    <x v="1"/>
    <x v="5"/>
    <n v="3"/>
    <n v="34199"/>
    <n v="102597"/>
    <n v="51815"/>
    <n v="50782"/>
    <n v="4"/>
  </r>
  <r>
    <n v="2"/>
    <x v="1"/>
    <x v="1"/>
    <x v="2"/>
    <x v="7"/>
    <x v="1"/>
    <x v="6"/>
    <n v="15"/>
    <n v="86262"/>
    <n v="1293930"/>
    <n v="860639"/>
    <n v="433291"/>
    <n v="2"/>
  </r>
  <r>
    <n v="2"/>
    <x v="1"/>
    <x v="1"/>
    <x v="3"/>
    <x v="7"/>
    <x v="1"/>
    <x v="7"/>
    <n v="17"/>
    <n v="46172"/>
    <n v="784924"/>
    <n v="375248"/>
    <n v="409676"/>
    <n v="2"/>
  </r>
  <r>
    <n v="2"/>
    <x v="1"/>
    <x v="1"/>
    <x v="3"/>
    <x v="7"/>
    <x v="2"/>
    <x v="8"/>
    <n v="18"/>
    <n v="45425"/>
    <n v="817650"/>
    <n v="497790"/>
    <n v="319860"/>
    <n v="7"/>
  </r>
  <r>
    <n v="2"/>
    <x v="1"/>
    <x v="1"/>
    <x v="3"/>
    <x v="7"/>
    <x v="2"/>
    <x v="9"/>
    <n v="3"/>
    <n v="48831"/>
    <n v="146493"/>
    <n v="78961"/>
    <n v="67532"/>
    <n v="12"/>
  </r>
  <r>
    <n v="2"/>
    <x v="1"/>
    <x v="1"/>
    <x v="2"/>
    <x v="7"/>
    <x v="2"/>
    <x v="10"/>
    <n v="15"/>
    <n v="80504"/>
    <n v="1207560"/>
    <n v="697827"/>
    <n v="509733"/>
    <n v="13"/>
  </r>
  <r>
    <n v="2"/>
    <x v="1"/>
    <x v="1"/>
    <x v="2"/>
    <x v="7"/>
    <x v="2"/>
    <x v="11"/>
    <n v="5"/>
    <n v="130177"/>
    <n v="650885"/>
    <n v="349674"/>
    <n v="301211"/>
    <n v="7"/>
  </r>
  <r>
    <n v="2"/>
    <x v="1"/>
    <x v="1"/>
    <x v="2"/>
    <x v="7"/>
    <x v="3"/>
    <x v="12"/>
    <n v="3"/>
    <n v="15874"/>
    <n v="47622"/>
    <n v="20899"/>
    <n v="26723"/>
    <n v="8"/>
  </r>
  <r>
    <n v="2"/>
    <x v="1"/>
    <x v="1"/>
    <x v="3"/>
    <x v="7"/>
    <x v="3"/>
    <x v="13"/>
    <n v="3"/>
    <n v="10016"/>
    <n v="30048"/>
    <n v="19701"/>
    <n v="10347"/>
    <n v="9"/>
  </r>
  <r>
    <n v="2"/>
    <x v="1"/>
    <x v="1"/>
    <x v="2"/>
    <x v="7"/>
    <x v="3"/>
    <x v="14"/>
    <n v="9"/>
    <n v="18774"/>
    <n v="168966"/>
    <n v="100800"/>
    <n v="68166"/>
    <n v="4"/>
  </r>
  <r>
    <n v="2"/>
    <x v="1"/>
    <x v="1"/>
    <x v="2"/>
    <x v="7"/>
    <x v="3"/>
    <x v="15"/>
    <n v="11"/>
    <n v="5954"/>
    <n v="65494"/>
    <n v="31726"/>
    <n v="33768"/>
    <n v="11"/>
  </r>
  <r>
    <n v="2"/>
    <x v="1"/>
    <x v="1"/>
    <x v="2"/>
    <x v="7"/>
    <x v="4"/>
    <x v="16"/>
    <n v="15"/>
    <n v="89669"/>
    <n v="1345035"/>
    <n v="642827"/>
    <n v="702208"/>
    <n v="4"/>
  </r>
  <r>
    <n v="2"/>
    <x v="1"/>
    <x v="1"/>
    <x v="3"/>
    <x v="7"/>
    <x v="4"/>
    <x v="17"/>
    <n v="16"/>
    <n v="132217"/>
    <n v="2115472"/>
    <n v="1184200"/>
    <n v="931272"/>
    <n v="4"/>
  </r>
  <r>
    <n v="2"/>
    <x v="1"/>
    <x v="1"/>
    <x v="2"/>
    <x v="7"/>
    <x v="4"/>
    <x v="18"/>
    <n v="16"/>
    <n v="23020"/>
    <n v="368320"/>
    <n v="246164"/>
    <n v="122156"/>
    <n v="12"/>
  </r>
  <r>
    <n v="2"/>
    <x v="1"/>
    <x v="1"/>
    <x v="2"/>
    <x v="7"/>
    <x v="4"/>
    <x v="19"/>
    <n v="17"/>
    <n v="123537"/>
    <n v="2100129"/>
    <n v="1152013"/>
    <n v="948116"/>
    <n v="13"/>
  </r>
  <r>
    <n v="2"/>
    <x v="1"/>
    <x v="1"/>
    <x v="3"/>
    <x v="8"/>
    <x v="0"/>
    <x v="0"/>
    <n v="19"/>
    <n v="39129"/>
    <n v="743451"/>
    <n v="424804"/>
    <n v="318647"/>
    <n v="7"/>
  </r>
  <r>
    <n v="2"/>
    <x v="1"/>
    <x v="1"/>
    <x v="3"/>
    <x v="8"/>
    <x v="0"/>
    <x v="1"/>
    <n v="2"/>
    <n v="91719"/>
    <n v="183438"/>
    <n v="104508"/>
    <n v="78930"/>
    <n v="12"/>
  </r>
  <r>
    <n v="2"/>
    <x v="1"/>
    <x v="1"/>
    <x v="2"/>
    <x v="8"/>
    <x v="0"/>
    <x v="2"/>
    <n v="1"/>
    <n v="144165"/>
    <n v="144165"/>
    <n v="80210"/>
    <n v="63955"/>
    <n v="7"/>
  </r>
  <r>
    <n v="2"/>
    <x v="1"/>
    <x v="1"/>
    <x v="3"/>
    <x v="8"/>
    <x v="0"/>
    <x v="3"/>
    <n v="1"/>
    <n v="116826"/>
    <n v="116826"/>
    <n v="77127"/>
    <n v="39699"/>
    <n v="8"/>
  </r>
  <r>
    <n v="2"/>
    <x v="1"/>
    <x v="1"/>
    <x v="2"/>
    <x v="8"/>
    <x v="1"/>
    <x v="4"/>
    <n v="13"/>
    <n v="53130"/>
    <n v="690690"/>
    <n v="325734"/>
    <n v="364956"/>
    <n v="4"/>
  </r>
  <r>
    <n v="2"/>
    <x v="1"/>
    <x v="1"/>
    <x v="3"/>
    <x v="8"/>
    <x v="1"/>
    <x v="5"/>
    <n v="10"/>
    <n v="147331"/>
    <n v="1473310"/>
    <n v="862745"/>
    <n v="610565"/>
    <n v="5"/>
  </r>
  <r>
    <n v="2"/>
    <x v="1"/>
    <x v="1"/>
    <x v="3"/>
    <x v="8"/>
    <x v="1"/>
    <x v="6"/>
    <n v="7"/>
    <n v="83620"/>
    <n v="585340"/>
    <n v="388818"/>
    <n v="196522"/>
    <n v="9"/>
  </r>
  <r>
    <n v="2"/>
    <x v="1"/>
    <x v="1"/>
    <x v="2"/>
    <x v="8"/>
    <x v="1"/>
    <x v="7"/>
    <n v="19"/>
    <n v="74302"/>
    <n v="1411738"/>
    <n v="914446"/>
    <n v="497292"/>
    <n v="9"/>
  </r>
  <r>
    <n v="2"/>
    <x v="1"/>
    <x v="1"/>
    <x v="3"/>
    <x v="8"/>
    <x v="2"/>
    <x v="8"/>
    <n v="11"/>
    <n v="97236"/>
    <n v="1069596"/>
    <n v="666414"/>
    <n v="403182"/>
    <n v="14"/>
  </r>
  <r>
    <n v="2"/>
    <x v="1"/>
    <x v="1"/>
    <x v="3"/>
    <x v="8"/>
    <x v="2"/>
    <x v="9"/>
    <n v="18"/>
    <n v="38787"/>
    <n v="698166"/>
    <n v="395758"/>
    <n v="302408"/>
    <n v="12"/>
  </r>
  <r>
    <n v="2"/>
    <x v="1"/>
    <x v="1"/>
    <x v="3"/>
    <x v="8"/>
    <x v="2"/>
    <x v="10"/>
    <n v="12"/>
    <n v="53062"/>
    <n v="636744"/>
    <n v="291590"/>
    <n v="345154"/>
    <n v="12"/>
  </r>
  <r>
    <n v="2"/>
    <x v="1"/>
    <x v="1"/>
    <x v="3"/>
    <x v="8"/>
    <x v="2"/>
    <x v="11"/>
    <n v="14"/>
    <n v="95418"/>
    <n v="1335852"/>
    <n v="927556"/>
    <n v="408296"/>
    <n v="0"/>
  </r>
  <r>
    <n v="2"/>
    <x v="1"/>
    <x v="1"/>
    <x v="3"/>
    <x v="8"/>
    <x v="3"/>
    <x v="12"/>
    <n v="8"/>
    <n v="12009"/>
    <n v="96072"/>
    <n v="56701"/>
    <n v="39371"/>
    <n v="7"/>
  </r>
  <r>
    <n v="2"/>
    <x v="1"/>
    <x v="1"/>
    <x v="2"/>
    <x v="8"/>
    <x v="3"/>
    <x v="13"/>
    <n v="13"/>
    <n v="17962"/>
    <n v="233506"/>
    <n v="102400"/>
    <n v="131106"/>
    <n v="2"/>
  </r>
  <r>
    <n v="2"/>
    <x v="1"/>
    <x v="1"/>
    <x v="3"/>
    <x v="8"/>
    <x v="3"/>
    <x v="14"/>
    <n v="7"/>
    <n v="17873"/>
    <n v="125111"/>
    <n v="66267"/>
    <n v="58844"/>
    <n v="1"/>
  </r>
  <r>
    <n v="2"/>
    <x v="1"/>
    <x v="1"/>
    <x v="2"/>
    <x v="8"/>
    <x v="3"/>
    <x v="15"/>
    <n v="15"/>
    <n v="14437"/>
    <n v="216555"/>
    <n v="135587"/>
    <n v="80968"/>
    <n v="5"/>
  </r>
  <r>
    <n v="2"/>
    <x v="1"/>
    <x v="1"/>
    <x v="2"/>
    <x v="8"/>
    <x v="4"/>
    <x v="16"/>
    <n v="4"/>
    <n v="92595"/>
    <n v="370380"/>
    <n v="224585"/>
    <n v="145795"/>
    <n v="1"/>
  </r>
  <r>
    <n v="2"/>
    <x v="1"/>
    <x v="1"/>
    <x v="2"/>
    <x v="8"/>
    <x v="4"/>
    <x v="17"/>
    <n v="4"/>
    <n v="147706"/>
    <n v="590824"/>
    <n v="265819"/>
    <n v="325005"/>
    <n v="11"/>
  </r>
  <r>
    <n v="2"/>
    <x v="1"/>
    <x v="1"/>
    <x v="3"/>
    <x v="8"/>
    <x v="4"/>
    <x v="18"/>
    <n v="17"/>
    <n v="93609"/>
    <n v="1591353"/>
    <n v="862628"/>
    <n v="728725"/>
    <n v="5"/>
  </r>
  <r>
    <n v="2"/>
    <x v="1"/>
    <x v="1"/>
    <x v="3"/>
    <x v="8"/>
    <x v="4"/>
    <x v="19"/>
    <n v="18"/>
    <n v="87889"/>
    <n v="1582002"/>
    <n v="1102725"/>
    <n v="479277"/>
    <n v="14"/>
  </r>
  <r>
    <n v="2"/>
    <x v="1"/>
    <x v="1"/>
    <x v="3"/>
    <x v="9"/>
    <x v="0"/>
    <x v="0"/>
    <n v="12"/>
    <n v="97475"/>
    <n v="1169700"/>
    <n v="695120"/>
    <n v="474580"/>
    <n v="3"/>
  </r>
  <r>
    <n v="2"/>
    <x v="1"/>
    <x v="1"/>
    <x v="3"/>
    <x v="9"/>
    <x v="0"/>
    <x v="1"/>
    <n v="12"/>
    <n v="107046"/>
    <n v="1284552"/>
    <n v="539110"/>
    <n v="745442"/>
    <n v="0"/>
  </r>
  <r>
    <n v="2"/>
    <x v="1"/>
    <x v="1"/>
    <x v="2"/>
    <x v="9"/>
    <x v="0"/>
    <x v="2"/>
    <n v="6"/>
    <n v="51598"/>
    <n v="309588"/>
    <n v="169218"/>
    <n v="140370"/>
    <n v="2"/>
  </r>
  <r>
    <n v="2"/>
    <x v="1"/>
    <x v="1"/>
    <x v="3"/>
    <x v="9"/>
    <x v="0"/>
    <x v="3"/>
    <n v="11"/>
    <n v="49241"/>
    <n v="541651"/>
    <n v="216827"/>
    <n v="324824"/>
    <n v="1"/>
  </r>
  <r>
    <n v="2"/>
    <x v="1"/>
    <x v="1"/>
    <x v="2"/>
    <x v="9"/>
    <x v="1"/>
    <x v="4"/>
    <n v="14"/>
    <n v="33025"/>
    <n v="462350"/>
    <n v="323246"/>
    <n v="139104"/>
    <n v="0"/>
  </r>
  <r>
    <n v="2"/>
    <x v="1"/>
    <x v="1"/>
    <x v="3"/>
    <x v="9"/>
    <x v="1"/>
    <x v="5"/>
    <n v="3"/>
    <n v="26540"/>
    <n v="79620"/>
    <n v="52251"/>
    <n v="27369"/>
    <n v="14"/>
  </r>
  <r>
    <n v="2"/>
    <x v="1"/>
    <x v="1"/>
    <x v="3"/>
    <x v="9"/>
    <x v="1"/>
    <x v="6"/>
    <n v="11"/>
    <n v="43411"/>
    <n v="477521"/>
    <n v="311336"/>
    <n v="166185"/>
    <n v="14"/>
  </r>
  <r>
    <n v="2"/>
    <x v="1"/>
    <x v="1"/>
    <x v="2"/>
    <x v="9"/>
    <x v="1"/>
    <x v="7"/>
    <n v="14"/>
    <n v="72307"/>
    <n v="1012298"/>
    <n v="603687"/>
    <n v="408611"/>
    <n v="10"/>
  </r>
  <r>
    <n v="2"/>
    <x v="1"/>
    <x v="1"/>
    <x v="2"/>
    <x v="9"/>
    <x v="2"/>
    <x v="8"/>
    <n v="3"/>
    <n v="137584"/>
    <n v="412752"/>
    <n v="284374"/>
    <n v="128378"/>
    <n v="7"/>
  </r>
  <r>
    <n v="2"/>
    <x v="1"/>
    <x v="1"/>
    <x v="3"/>
    <x v="9"/>
    <x v="2"/>
    <x v="9"/>
    <n v="15"/>
    <n v="101871"/>
    <n v="1528065"/>
    <n v="1004256"/>
    <n v="523809"/>
    <n v="3"/>
  </r>
  <r>
    <n v="2"/>
    <x v="1"/>
    <x v="1"/>
    <x v="2"/>
    <x v="9"/>
    <x v="2"/>
    <x v="10"/>
    <n v="6"/>
    <n v="119986"/>
    <n v="719916"/>
    <n v="347189"/>
    <n v="372727"/>
    <n v="2"/>
  </r>
  <r>
    <n v="2"/>
    <x v="1"/>
    <x v="1"/>
    <x v="3"/>
    <x v="9"/>
    <x v="2"/>
    <x v="11"/>
    <n v="1"/>
    <n v="32857"/>
    <n v="32857"/>
    <n v="21956"/>
    <n v="10901"/>
    <n v="14"/>
  </r>
  <r>
    <n v="2"/>
    <x v="1"/>
    <x v="1"/>
    <x v="3"/>
    <x v="9"/>
    <x v="3"/>
    <x v="12"/>
    <n v="2"/>
    <n v="6980"/>
    <n v="13960"/>
    <n v="6423"/>
    <n v="7537"/>
    <n v="0"/>
  </r>
  <r>
    <n v="2"/>
    <x v="1"/>
    <x v="1"/>
    <x v="3"/>
    <x v="9"/>
    <x v="3"/>
    <x v="13"/>
    <n v="12"/>
    <n v="15001"/>
    <n v="180012"/>
    <n v="118683"/>
    <n v="61329"/>
    <n v="10"/>
  </r>
  <r>
    <n v="2"/>
    <x v="1"/>
    <x v="1"/>
    <x v="2"/>
    <x v="9"/>
    <x v="3"/>
    <x v="14"/>
    <n v="8"/>
    <n v="10179"/>
    <n v="81432"/>
    <n v="37105"/>
    <n v="44327"/>
    <n v="0"/>
  </r>
  <r>
    <n v="2"/>
    <x v="1"/>
    <x v="1"/>
    <x v="3"/>
    <x v="9"/>
    <x v="3"/>
    <x v="15"/>
    <n v="8"/>
    <n v="13782"/>
    <n v="110256"/>
    <n v="59109"/>
    <n v="51147"/>
    <n v="1"/>
  </r>
  <r>
    <n v="2"/>
    <x v="1"/>
    <x v="1"/>
    <x v="3"/>
    <x v="9"/>
    <x v="4"/>
    <x v="16"/>
    <n v="7"/>
    <n v="149410"/>
    <n v="1045870"/>
    <n v="668352"/>
    <n v="377518"/>
    <n v="11"/>
  </r>
  <r>
    <n v="2"/>
    <x v="1"/>
    <x v="1"/>
    <x v="3"/>
    <x v="9"/>
    <x v="4"/>
    <x v="17"/>
    <n v="3"/>
    <n v="35251"/>
    <n v="105753"/>
    <n v="67572"/>
    <n v="38181"/>
    <n v="8"/>
  </r>
  <r>
    <n v="2"/>
    <x v="1"/>
    <x v="1"/>
    <x v="2"/>
    <x v="9"/>
    <x v="4"/>
    <x v="18"/>
    <n v="14"/>
    <n v="149478"/>
    <n v="2092692"/>
    <n v="915669"/>
    <n v="1177023"/>
    <n v="11"/>
  </r>
  <r>
    <n v="2"/>
    <x v="1"/>
    <x v="1"/>
    <x v="2"/>
    <x v="9"/>
    <x v="4"/>
    <x v="19"/>
    <n v="4"/>
    <n v="28712"/>
    <n v="114848"/>
    <n v="52848"/>
    <n v="62000"/>
    <n v="8"/>
  </r>
  <r>
    <n v="2"/>
    <x v="1"/>
    <x v="1"/>
    <x v="3"/>
    <x v="10"/>
    <x v="0"/>
    <x v="0"/>
    <n v="2"/>
    <n v="74615"/>
    <n v="149230"/>
    <n v="79088"/>
    <n v="70142"/>
    <n v="12"/>
  </r>
  <r>
    <n v="2"/>
    <x v="1"/>
    <x v="1"/>
    <x v="3"/>
    <x v="10"/>
    <x v="0"/>
    <x v="1"/>
    <n v="17"/>
    <n v="122471"/>
    <n v="2082007"/>
    <n v="1122992"/>
    <n v="959015"/>
    <n v="13"/>
  </r>
  <r>
    <n v="2"/>
    <x v="1"/>
    <x v="1"/>
    <x v="3"/>
    <x v="10"/>
    <x v="0"/>
    <x v="2"/>
    <n v="18"/>
    <n v="103309"/>
    <n v="1859562"/>
    <n v="1287579"/>
    <n v="571983"/>
    <n v="5"/>
  </r>
  <r>
    <n v="2"/>
    <x v="1"/>
    <x v="1"/>
    <x v="2"/>
    <x v="10"/>
    <x v="0"/>
    <x v="3"/>
    <n v="11"/>
    <n v="41804"/>
    <n v="459844"/>
    <n v="288376"/>
    <n v="171468"/>
    <n v="11"/>
  </r>
  <r>
    <n v="2"/>
    <x v="1"/>
    <x v="1"/>
    <x v="3"/>
    <x v="10"/>
    <x v="1"/>
    <x v="4"/>
    <n v="6"/>
    <n v="72648"/>
    <n v="435888"/>
    <n v="179536"/>
    <n v="256352"/>
    <n v="5"/>
  </r>
  <r>
    <n v="2"/>
    <x v="1"/>
    <x v="1"/>
    <x v="3"/>
    <x v="10"/>
    <x v="1"/>
    <x v="5"/>
    <n v="19"/>
    <n v="66167"/>
    <n v="1257173"/>
    <n v="557903"/>
    <n v="699270"/>
    <n v="11"/>
  </r>
  <r>
    <n v="2"/>
    <x v="1"/>
    <x v="1"/>
    <x v="3"/>
    <x v="10"/>
    <x v="1"/>
    <x v="6"/>
    <n v="14"/>
    <n v="58559"/>
    <n v="819826"/>
    <n v="332447"/>
    <n v="487379"/>
    <n v="5"/>
  </r>
  <r>
    <n v="2"/>
    <x v="1"/>
    <x v="1"/>
    <x v="3"/>
    <x v="10"/>
    <x v="1"/>
    <x v="7"/>
    <n v="1"/>
    <n v="94441"/>
    <n v="94441"/>
    <n v="59756"/>
    <n v="34685"/>
    <n v="1"/>
  </r>
  <r>
    <n v="2"/>
    <x v="1"/>
    <x v="1"/>
    <x v="2"/>
    <x v="10"/>
    <x v="2"/>
    <x v="8"/>
    <n v="1"/>
    <n v="69153"/>
    <n v="69153"/>
    <n v="38744"/>
    <n v="30409"/>
    <n v="8"/>
  </r>
  <r>
    <n v="2"/>
    <x v="1"/>
    <x v="1"/>
    <x v="2"/>
    <x v="10"/>
    <x v="2"/>
    <x v="9"/>
    <n v="13"/>
    <n v="103869"/>
    <n v="1350297"/>
    <n v="553569"/>
    <n v="796728"/>
    <n v="3"/>
  </r>
  <r>
    <n v="2"/>
    <x v="1"/>
    <x v="1"/>
    <x v="3"/>
    <x v="10"/>
    <x v="2"/>
    <x v="10"/>
    <n v="7"/>
    <n v="128737"/>
    <n v="901159"/>
    <n v="624719"/>
    <n v="276440"/>
    <n v="9"/>
  </r>
  <r>
    <n v="2"/>
    <x v="1"/>
    <x v="1"/>
    <x v="2"/>
    <x v="10"/>
    <x v="2"/>
    <x v="11"/>
    <n v="14"/>
    <n v="95897"/>
    <n v="1342558"/>
    <n v="859473"/>
    <n v="483085"/>
    <n v="1"/>
  </r>
  <r>
    <n v="2"/>
    <x v="1"/>
    <x v="1"/>
    <x v="3"/>
    <x v="10"/>
    <x v="3"/>
    <x v="12"/>
    <n v="10"/>
    <n v="14078"/>
    <n v="140780"/>
    <n v="84625"/>
    <n v="56155"/>
    <n v="7"/>
  </r>
  <r>
    <n v="2"/>
    <x v="1"/>
    <x v="1"/>
    <x v="3"/>
    <x v="10"/>
    <x v="3"/>
    <x v="13"/>
    <n v="11"/>
    <n v="13508"/>
    <n v="148588"/>
    <n v="90927"/>
    <n v="57661"/>
    <n v="5"/>
  </r>
  <r>
    <n v="2"/>
    <x v="1"/>
    <x v="1"/>
    <x v="2"/>
    <x v="10"/>
    <x v="3"/>
    <x v="14"/>
    <n v="9"/>
    <n v="11917"/>
    <n v="107253"/>
    <n v="62741"/>
    <n v="44512"/>
    <n v="14"/>
  </r>
  <r>
    <n v="2"/>
    <x v="1"/>
    <x v="1"/>
    <x v="3"/>
    <x v="10"/>
    <x v="3"/>
    <x v="15"/>
    <n v="9"/>
    <n v="13907"/>
    <n v="125163"/>
    <n v="82769"/>
    <n v="42394"/>
    <n v="1"/>
  </r>
  <r>
    <n v="2"/>
    <x v="1"/>
    <x v="1"/>
    <x v="2"/>
    <x v="10"/>
    <x v="4"/>
    <x v="16"/>
    <n v="15"/>
    <n v="44826"/>
    <n v="672390"/>
    <n v="366667"/>
    <n v="305723"/>
    <n v="10"/>
  </r>
  <r>
    <n v="2"/>
    <x v="1"/>
    <x v="1"/>
    <x v="2"/>
    <x v="10"/>
    <x v="4"/>
    <x v="17"/>
    <n v="16"/>
    <n v="86435"/>
    <n v="1382960"/>
    <n v="801069"/>
    <n v="581891"/>
    <n v="5"/>
  </r>
  <r>
    <n v="2"/>
    <x v="1"/>
    <x v="1"/>
    <x v="3"/>
    <x v="10"/>
    <x v="4"/>
    <x v="18"/>
    <n v="3"/>
    <n v="76446"/>
    <n v="229338"/>
    <n v="127952"/>
    <n v="101386"/>
    <n v="9"/>
  </r>
  <r>
    <n v="2"/>
    <x v="1"/>
    <x v="1"/>
    <x v="3"/>
    <x v="10"/>
    <x v="4"/>
    <x v="19"/>
    <n v="14"/>
    <n v="131562"/>
    <n v="1841868"/>
    <n v="1137257"/>
    <n v="704611"/>
    <n v="11"/>
  </r>
  <r>
    <n v="2"/>
    <x v="1"/>
    <x v="1"/>
    <x v="3"/>
    <x v="11"/>
    <x v="0"/>
    <x v="0"/>
    <n v="12"/>
    <n v="145836"/>
    <n v="1750032"/>
    <n v="951638"/>
    <n v="798394"/>
    <n v="2"/>
  </r>
  <r>
    <n v="2"/>
    <x v="1"/>
    <x v="1"/>
    <x v="3"/>
    <x v="11"/>
    <x v="0"/>
    <x v="1"/>
    <n v="19"/>
    <n v="40022"/>
    <n v="760418"/>
    <n v="411427"/>
    <n v="348991"/>
    <n v="12"/>
  </r>
  <r>
    <n v="2"/>
    <x v="1"/>
    <x v="1"/>
    <x v="2"/>
    <x v="11"/>
    <x v="0"/>
    <x v="2"/>
    <n v="8"/>
    <n v="48380"/>
    <n v="387040"/>
    <n v="246509"/>
    <n v="140531"/>
    <n v="6"/>
  </r>
  <r>
    <n v="2"/>
    <x v="1"/>
    <x v="1"/>
    <x v="2"/>
    <x v="11"/>
    <x v="0"/>
    <x v="3"/>
    <n v="19"/>
    <n v="109899"/>
    <n v="2088081"/>
    <n v="1183125"/>
    <n v="904956"/>
    <n v="1"/>
  </r>
  <r>
    <n v="2"/>
    <x v="1"/>
    <x v="1"/>
    <x v="2"/>
    <x v="11"/>
    <x v="1"/>
    <x v="4"/>
    <n v="19"/>
    <n v="20661"/>
    <n v="392559"/>
    <n v="196159"/>
    <n v="196400"/>
    <n v="7"/>
  </r>
  <r>
    <n v="2"/>
    <x v="1"/>
    <x v="1"/>
    <x v="2"/>
    <x v="11"/>
    <x v="1"/>
    <x v="5"/>
    <n v="9"/>
    <n v="111194"/>
    <n v="1000746"/>
    <n v="595541"/>
    <n v="405205"/>
    <n v="9"/>
  </r>
  <r>
    <n v="2"/>
    <x v="1"/>
    <x v="1"/>
    <x v="3"/>
    <x v="11"/>
    <x v="1"/>
    <x v="6"/>
    <n v="19"/>
    <n v="114242"/>
    <n v="2170598"/>
    <n v="1011864"/>
    <n v="1158734"/>
    <n v="5"/>
  </r>
  <r>
    <n v="2"/>
    <x v="1"/>
    <x v="1"/>
    <x v="2"/>
    <x v="11"/>
    <x v="1"/>
    <x v="7"/>
    <n v="15"/>
    <n v="118656"/>
    <n v="1779840"/>
    <n v="1160697"/>
    <n v="619143"/>
    <n v="0"/>
  </r>
  <r>
    <n v="2"/>
    <x v="1"/>
    <x v="1"/>
    <x v="2"/>
    <x v="11"/>
    <x v="2"/>
    <x v="8"/>
    <n v="5"/>
    <n v="98339"/>
    <n v="491695"/>
    <n v="305148"/>
    <n v="186547"/>
    <n v="13"/>
  </r>
  <r>
    <n v="2"/>
    <x v="1"/>
    <x v="1"/>
    <x v="3"/>
    <x v="11"/>
    <x v="2"/>
    <x v="9"/>
    <n v="18"/>
    <n v="136400"/>
    <n v="2455200"/>
    <n v="1360668"/>
    <n v="1094532"/>
    <n v="8"/>
  </r>
  <r>
    <n v="2"/>
    <x v="1"/>
    <x v="1"/>
    <x v="3"/>
    <x v="11"/>
    <x v="2"/>
    <x v="10"/>
    <n v="4"/>
    <n v="45849"/>
    <n v="183396"/>
    <n v="113261"/>
    <n v="70135"/>
    <n v="3"/>
  </r>
  <r>
    <n v="2"/>
    <x v="1"/>
    <x v="1"/>
    <x v="2"/>
    <x v="11"/>
    <x v="2"/>
    <x v="11"/>
    <n v="2"/>
    <n v="46958"/>
    <n v="93916"/>
    <n v="62943"/>
    <n v="30973"/>
    <n v="5"/>
  </r>
  <r>
    <n v="2"/>
    <x v="1"/>
    <x v="1"/>
    <x v="3"/>
    <x v="11"/>
    <x v="3"/>
    <x v="12"/>
    <n v="7"/>
    <n v="17201"/>
    <n v="120407"/>
    <n v="84000"/>
    <n v="36407"/>
    <n v="9"/>
  </r>
  <r>
    <n v="2"/>
    <x v="1"/>
    <x v="1"/>
    <x v="2"/>
    <x v="11"/>
    <x v="3"/>
    <x v="13"/>
    <n v="12"/>
    <n v="8714"/>
    <n v="104568"/>
    <n v="61369"/>
    <n v="43199"/>
    <n v="7"/>
  </r>
  <r>
    <n v="2"/>
    <x v="1"/>
    <x v="1"/>
    <x v="2"/>
    <x v="11"/>
    <x v="3"/>
    <x v="14"/>
    <n v="15"/>
    <n v="12904"/>
    <n v="193560"/>
    <n v="85063"/>
    <n v="108497"/>
    <n v="7"/>
  </r>
  <r>
    <n v="2"/>
    <x v="1"/>
    <x v="1"/>
    <x v="3"/>
    <x v="11"/>
    <x v="3"/>
    <x v="15"/>
    <n v="4"/>
    <n v="11895"/>
    <n v="47580"/>
    <n v="27622"/>
    <n v="19958"/>
    <n v="9"/>
  </r>
  <r>
    <n v="2"/>
    <x v="1"/>
    <x v="1"/>
    <x v="3"/>
    <x v="11"/>
    <x v="4"/>
    <x v="16"/>
    <n v="12"/>
    <n v="86061"/>
    <n v="1032732"/>
    <n v="714050"/>
    <n v="318682"/>
    <n v="6"/>
  </r>
  <r>
    <n v="2"/>
    <x v="1"/>
    <x v="1"/>
    <x v="3"/>
    <x v="11"/>
    <x v="4"/>
    <x v="17"/>
    <n v="5"/>
    <n v="84324"/>
    <n v="421620"/>
    <n v="177392"/>
    <n v="244228"/>
    <n v="8"/>
  </r>
  <r>
    <n v="2"/>
    <x v="1"/>
    <x v="1"/>
    <x v="3"/>
    <x v="11"/>
    <x v="4"/>
    <x v="18"/>
    <n v="15"/>
    <n v="118317"/>
    <n v="1774755"/>
    <n v="984004"/>
    <n v="790751"/>
    <n v="8"/>
  </r>
  <r>
    <n v="2"/>
    <x v="1"/>
    <x v="1"/>
    <x v="3"/>
    <x v="11"/>
    <x v="4"/>
    <x v="19"/>
    <n v="2"/>
    <n v="89350"/>
    <n v="178700"/>
    <n v="80246"/>
    <n v="98454"/>
    <n v="10"/>
  </r>
  <r>
    <n v="3"/>
    <x v="2"/>
    <x v="2"/>
    <x v="4"/>
    <x v="0"/>
    <x v="0"/>
    <x v="0"/>
    <n v="2"/>
    <n v="84674"/>
    <n v="169348"/>
    <n v="101104"/>
    <n v="68244"/>
    <n v="14"/>
  </r>
  <r>
    <n v="3"/>
    <x v="2"/>
    <x v="2"/>
    <x v="5"/>
    <x v="0"/>
    <x v="0"/>
    <x v="1"/>
    <n v="1"/>
    <n v="41927"/>
    <n v="41927"/>
    <n v="24301"/>
    <n v="17626"/>
    <n v="3"/>
  </r>
  <r>
    <n v="3"/>
    <x v="2"/>
    <x v="2"/>
    <x v="4"/>
    <x v="0"/>
    <x v="0"/>
    <x v="2"/>
    <n v="13"/>
    <n v="141750"/>
    <n v="1842750"/>
    <n v="987966"/>
    <n v="854784"/>
    <n v="10"/>
  </r>
  <r>
    <n v="3"/>
    <x v="2"/>
    <x v="2"/>
    <x v="5"/>
    <x v="0"/>
    <x v="0"/>
    <x v="3"/>
    <n v="10"/>
    <n v="64738"/>
    <n v="647380"/>
    <n v="344799"/>
    <n v="302581"/>
    <n v="9"/>
  </r>
  <r>
    <n v="3"/>
    <x v="2"/>
    <x v="2"/>
    <x v="4"/>
    <x v="0"/>
    <x v="1"/>
    <x v="4"/>
    <n v="10"/>
    <n v="96619"/>
    <n v="966190"/>
    <n v="626733"/>
    <n v="339457"/>
    <n v="0"/>
  </r>
  <r>
    <n v="3"/>
    <x v="2"/>
    <x v="2"/>
    <x v="4"/>
    <x v="0"/>
    <x v="1"/>
    <x v="5"/>
    <n v="5"/>
    <n v="133939"/>
    <n v="669695"/>
    <n v="385988"/>
    <n v="283707"/>
    <n v="11"/>
  </r>
  <r>
    <n v="3"/>
    <x v="2"/>
    <x v="2"/>
    <x v="4"/>
    <x v="0"/>
    <x v="1"/>
    <x v="6"/>
    <n v="1"/>
    <n v="128856"/>
    <n v="128856"/>
    <n v="57999"/>
    <n v="70857"/>
    <n v="3"/>
  </r>
  <r>
    <n v="3"/>
    <x v="2"/>
    <x v="2"/>
    <x v="5"/>
    <x v="0"/>
    <x v="1"/>
    <x v="7"/>
    <n v="11"/>
    <n v="75204"/>
    <n v="827244"/>
    <n v="419428"/>
    <n v="407816"/>
    <n v="11"/>
  </r>
  <r>
    <n v="3"/>
    <x v="2"/>
    <x v="2"/>
    <x v="4"/>
    <x v="0"/>
    <x v="2"/>
    <x v="8"/>
    <n v="5"/>
    <n v="112464"/>
    <n v="562320"/>
    <n v="367336"/>
    <n v="194984"/>
    <n v="11"/>
  </r>
  <r>
    <n v="3"/>
    <x v="2"/>
    <x v="2"/>
    <x v="4"/>
    <x v="0"/>
    <x v="2"/>
    <x v="9"/>
    <n v="15"/>
    <n v="87278"/>
    <n v="1309170"/>
    <n v="742878"/>
    <n v="566292"/>
    <n v="10"/>
  </r>
  <r>
    <n v="3"/>
    <x v="2"/>
    <x v="2"/>
    <x v="4"/>
    <x v="0"/>
    <x v="2"/>
    <x v="10"/>
    <n v="18"/>
    <n v="145261"/>
    <n v="2614698"/>
    <n v="1090658"/>
    <n v="1524040"/>
    <n v="14"/>
  </r>
  <r>
    <n v="3"/>
    <x v="2"/>
    <x v="2"/>
    <x v="4"/>
    <x v="0"/>
    <x v="2"/>
    <x v="11"/>
    <n v="5"/>
    <n v="111155"/>
    <n v="555775"/>
    <n v="230929"/>
    <n v="324846"/>
    <n v="0"/>
  </r>
  <r>
    <n v="3"/>
    <x v="2"/>
    <x v="2"/>
    <x v="5"/>
    <x v="0"/>
    <x v="3"/>
    <x v="12"/>
    <n v="3"/>
    <n v="9293"/>
    <n v="27879"/>
    <n v="12657"/>
    <n v="15222"/>
    <n v="10"/>
  </r>
  <r>
    <n v="3"/>
    <x v="2"/>
    <x v="2"/>
    <x v="5"/>
    <x v="0"/>
    <x v="3"/>
    <x v="13"/>
    <n v="5"/>
    <n v="18472"/>
    <n v="92360"/>
    <n v="50998"/>
    <n v="41362"/>
    <n v="13"/>
  </r>
  <r>
    <n v="3"/>
    <x v="2"/>
    <x v="2"/>
    <x v="4"/>
    <x v="0"/>
    <x v="3"/>
    <x v="14"/>
    <n v="12"/>
    <n v="9585"/>
    <n v="115020"/>
    <n v="59719"/>
    <n v="55301"/>
    <n v="1"/>
  </r>
  <r>
    <n v="3"/>
    <x v="2"/>
    <x v="2"/>
    <x v="5"/>
    <x v="0"/>
    <x v="3"/>
    <x v="15"/>
    <n v="11"/>
    <n v="5125"/>
    <n v="56375"/>
    <n v="38647"/>
    <n v="17728"/>
    <n v="1"/>
  </r>
  <r>
    <n v="3"/>
    <x v="2"/>
    <x v="2"/>
    <x v="4"/>
    <x v="0"/>
    <x v="4"/>
    <x v="16"/>
    <n v="7"/>
    <n v="140030"/>
    <n v="980210"/>
    <n v="466842"/>
    <n v="513368"/>
    <n v="10"/>
  </r>
  <r>
    <n v="3"/>
    <x v="2"/>
    <x v="2"/>
    <x v="4"/>
    <x v="0"/>
    <x v="4"/>
    <x v="17"/>
    <n v="18"/>
    <n v="29110"/>
    <n v="523980"/>
    <n v="314419"/>
    <n v="209561"/>
    <n v="3"/>
  </r>
  <r>
    <n v="3"/>
    <x v="2"/>
    <x v="2"/>
    <x v="4"/>
    <x v="0"/>
    <x v="4"/>
    <x v="18"/>
    <n v="13"/>
    <n v="98131"/>
    <n v="1275703"/>
    <n v="779970"/>
    <n v="495733"/>
    <n v="9"/>
  </r>
  <r>
    <n v="3"/>
    <x v="2"/>
    <x v="2"/>
    <x v="4"/>
    <x v="0"/>
    <x v="4"/>
    <x v="19"/>
    <n v="8"/>
    <n v="30225"/>
    <n v="241800"/>
    <n v="110382"/>
    <n v="131418"/>
    <n v="6"/>
  </r>
  <r>
    <n v="3"/>
    <x v="2"/>
    <x v="2"/>
    <x v="4"/>
    <x v="1"/>
    <x v="0"/>
    <x v="0"/>
    <n v="8"/>
    <n v="43196"/>
    <n v="345568"/>
    <n v="184230"/>
    <n v="161338"/>
    <n v="4"/>
  </r>
  <r>
    <n v="3"/>
    <x v="2"/>
    <x v="2"/>
    <x v="5"/>
    <x v="1"/>
    <x v="0"/>
    <x v="1"/>
    <n v="15"/>
    <n v="130677"/>
    <n v="1960155"/>
    <n v="934194"/>
    <n v="1025961"/>
    <n v="0"/>
  </r>
  <r>
    <n v="3"/>
    <x v="2"/>
    <x v="2"/>
    <x v="5"/>
    <x v="1"/>
    <x v="0"/>
    <x v="2"/>
    <n v="11"/>
    <n v="108009"/>
    <n v="1188099"/>
    <n v="481482"/>
    <n v="706617"/>
    <n v="1"/>
  </r>
  <r>
    <n v="3"/>
    <x v="2"/>
    <x v="2"/>
    <x v="4"/>
    <x v="1"/>
    <x v="0"/>
    <x v="3"/>
    <n v="17"/>
    <n v="44089"/>
    <n v="749513"/>
    <n v="495181"/>
    <n v="254332"/>
    <n v="7"/>
  </r>
  <r>
    <n v="3"/>
    <x v="2"/>
    <x v="2"/>
    <x v="5"/>
    <x v="1"/>
    <x v="1"/>
    <x v="4"/>
    <n v="17"/>
    <n v="114795"/>
    <n v="1951515"/>
    <n v="846826"/>
    <n v="1104689"/>
    <n v="8"/>
  </r>
  <r>
    <n v="3"/>
    <x v="2"/>
    <x v="2"/>
    <x v="5"/>
    <x v="1"/>
    <x v="1"/>
    <x v="5"/>
    <n v="14"/>
    <n v="50659"/>
    <n v="709226"/>
    <n v="427630"/>
    <n v="281596"/>
    <n v="2"/>
  </r>
  <r>
    <n v="3"/>
    <x v="2"/>
    <x v="2"/>
    <x v="4"/>
    <x v="1"/>
    <x v="1"/>
    <x v="6"/>
    <n v="16"/>
    <n v="132269"/>
    <n v="2116304"/>
    <n v="1096582"/>
    <n v="1019722"/>
    <n v="4"/>
  </r>
  <r>
    <n v="3"/>
    <x v="2"/>
    <x v="2"/>
    <x v="5"/>
    <x v="1"/>
    <x v="1"/>
    <x v="7"/>
    <n v="9"/>
    <n v="130169"/>
    <n v="1171521"/>
    <n v="591116"/>
    <n v="580405"/>
    <n v="1"/>
  </r>
  <r>
    <n v="3"/>
    <x v="2"/>
    <x v="2"/>
    <x v="5"/>
    <x v="1"/>
    <x v="2"/>
    <x v="8"/>
    <n v="18"/>
    <n v="37087"/>
    <n v="667566"/>
    <n v="276681"/>
    <n v="390885"/>
    <n v="8"/>
  </r>
  <r>
    <n v="3"/>
    <x v="2"/>
    <x v="2"/>
    <x v="4"/>
    <x v="1"/>
    <x v="2"/>
    <x v="9"/>
    <n v="1"/>
    <n v="93384"/>
    <n v="93384"/>
    <n v="65182"/>
    <n v="28202"/>
    <n v="12"/>
  </r>
  <r>
    <n v="3"/>
    <x v="2"/>
    <x v="2"/>
    <x v="5"/>
    <x v="1"/>
    <x v="2"/>
    <x v="10"/>
    <n v="9"/>
    <n v="138516"/>
    <n v="1246644"/>
    <n v="710717"/>
    <n v="535927"/>
    <n v="8"/>
  </r>
  <r>
    <n v="3"/>
    <x v="2"/>
    <x v="2"/>
    <x v="4"/>
    <x v="1"/>
    <x v="2"/>
    <x v="11"/>
    <n v="11"/>
    <n v="45923"/>
    <n v="505153"/>
    <n v="300643"/>
    <n v="204510"/>
    <n v="5"/>
  </r>
  <r>
    <n v="3"/>
    <x v="2"/>
    <x v="2"/>
    <x v="5"/>
    <x v="1"/>
    <x v="3"/>
    <x v="12"/>
    <n v="14"/>
    <n v="6667"/>
    <n v="93338"/>
    <n v="56028"/>
    <n v="37310"/>
    <n v="5"/>
  </r>
  <r>
    <n v="3"/>
    <x v="2"/>
    <x v="2"/>
    <x v="5"/>
    <x v="1"/>
    <x v="3"/>
    <x v="13"/>
    <n v="2"/>
    <n v="12761"/>
    <n v="25522"/>
    <n v="16930"/>
    <n v="8592"/>
    <n v="6"/>
  </r>
  <r>
    <n v="3"/>
    <x v="2"/>
    <x v="2"/>
    <x v="4"/>
    <x v="1"/>
    <x v="3"/>
    <x v="14"/>
    <n v="19"/>
    <n v="6388"/>
    <n v="121372"/>
    <n v="78327"/>
    <n v="43045"/>
    <n v="7"/>
  </r>
  <r>
    <n v="3"/>
    <x v="2"/>
    <x v="2"/>
    <x v="5"/>
    <x v="1"/>
    <x v="3"/>
    <x v="15"/>
    <n v="7"/>
    <n v="14816"/>
    <n v="103712"/>
    <n v="51701"/>
    <n v="52011"/>
    <n v="0"/>
  </r>
  <r>
    <n v="3"/>
    <x v="2"/>
    <x v="2"/>
    <x v="5"/>
    <x v="1"/>
    <x v="4"/>
    <x v="16"/>
    <n v="12"/>
    <n v="146969"/>
    <n v="1763628"/>
    <n v="915061"/>
    <n v="848567"/>
    <n v="4"/>
  </r>
  <r>
    <n v="3"/>
    <x v="2"/>
    <x v="2"/>
    <x v="5"/>
    <x v="1"/>
    <x v="4"/>
    <x v="17"/>
    <n v="19"/>
    <n v="55643"/>
    <n v="1057217"/>
    <n v="596851"/>
    <n v="460366"/>
    <n v="0"/>
  </r>
  <r>
    <n v="3"/>
    <x v="2"/>
    <x v="2"/>
    <x v="5"/>
    <x v="1"/>
    <x v="4"/>
    <x v="18"/>
    <n v="17"/>
    <n v="28927"/>
    <n v="491759"/>
    <n v="251768"/>
    <n v="239991"/>
    <n v="11"/>
  </r>
  <r>
    <n v="3"/>
    <x v="2"/>
    <x v="2"/>
    <x v="5"/>
    <x v="1"/>
    <x v="4"/>
    <x v="19"/>
    <n v="6"/>
    <n v="83449"/>
    <n v="500694"/>
    <n v="288459"/>
    <n v="212235"/>
    <n v="7"/>
  </r>
  <r>
    <n v="3"/>
    <x v="2"/>
    <x v="2"/>
    <x v="4"/>
    <x v="2"/>
    <x v="0"/>
    <x v="0"/>
    <n v="14"/>
    <n v="141805"/>
    <n v="1985270"/>
    <n v="1163064"/>
    <n v="822206"/>
    <n v="13"/>
  </r>
  <r>
    <n v="3"/>
    <x v="2"/>
    <x v="2"/>
    <x v="5"/>
    <x v="2"/>
    <x v="0"/>
    <x v="1"/>
    <n v="9"/>
    <n v="127522"/>
    <n v="1147698"/>
    <n v="645820"/>
    <n v="501878"/>
    <n v="7"/>
  </r>
  <r>
    <n v="3"/>
    <x v="2"/>
    <x v="2"/>
    <x v="5"/>
    <x v="2"/>
    <x v="0"/>
    <x v="2"/>
    <n v="16"/>
    <n v="148449"/>
    <n v="2375184"/>
    <n v="1291517"/>
    <n v="1083667"/>
    <n v="4"/>
  </r>
  <r>
    <n v="3"/>
    <x v="2"/>
    <x v="2"/>
    <x v="4"/>
    <x v="2"/>
    <x v="0"/>
    <x v="3"/>
    <n v="12"/>
    <n v="41636"/>
    <n v="499632"/>
    <n v="259632"/>
    <n v="240000"/>
    <n v="4"/>
  </r>
  <r>
    <n v="3"/>
    <x v="2"/>
    <x v="2"/>
    <x v="4"/>
    <x v="2"/>
    <x v="1"/>
    <x v="4"/>
    <n v="15"/>
    <n v="31563"/>
    <n v="473445"/>
    <n v="257084"/>
    <n v="216361"/>
    <n v="10"/>
  </r>
  <r>
    <n v="3"/>
    <x v="2"/>
    <x v="2"/>
    <x v="4"/>
    <x v="2"/>
    <x v="1"/>
    <x v="5"/>
    <n v="16"/>
    <n v="46966"/>
    <n v="751456"/>
    <n v="483859"/>
    <n v="267597"/>
    <n v="1"/>
  </r>
  <r>
    <n v="3"/>
    <x v="2"/>
    <x v="2"/>
    <x v="5"/>
    <x v="2"/>
    <x v="1"/>
    <x v="6"/>
    <n v="12"/>
    <n v="98714"/>
    <n v="1184568"/>
    <n v="659058"/>
    <n v="525510"/>
    <n v="4"/>
  </r>
  <r>
    <n v="3"/>
    <x v="2"/>
    <x v="2"/>
    <x v="4"/>
    <x v="2"/>
    <x v="1"/>
    <x v="7"/>
    <n v="11"/>
    <n v="127510"/>
    <n v="1402610"/>
    <n v="938366"/>
    <n v="464244"/>
    <n v="4"/>
  </r>
  <r>
    <n v="3"/>
    <x v="2"/>
    <x v="2"/>
    <x v="4"/>
    <x v="2"/>
    <x v="2"/>
    <x v="8"/>
    <n v="15"/>
    <n v="76088"/>
    <n v="1141320"/>
    <n v="680692"/>
    <n v="460628"/>
    <n v="2"/>
  </r>
  <r>
    <n v="3"/>
    <x v="2"/>
    <x v="2"/>
    <x v="5"/>
    <x v="2"/>
    <x v="2"/>
    <x v="9"/>
    <n v="15"/>
    <n v="65379"/>
    <n v="980685"/>
    <n v="667190"/>
    <n v="313495"/>
    <n v="5"/>
  </r>
  <r>
    <n v="3"/>
    <x v="2"/>
    <x v="2"/>
    <x v="5"/>
    <x v="2"/>
    <x v="2"/>
    <x v="10"/>
    <n v="19"/>
    <n v="66881"/>
    <n v="1270739"/>
    <n v="571704"/>
    <n v="699035"/>
    <n v="3"/>
  </r>
  <r>
    <n v="3"/>
    <x v="2"/>
    <x v="2"/>
    <x v="5"/>
    <x v="2"/>
    <x v="2"/>
    <x v="11"/>
    <n v="16"/>
    <n v="77716"/>
    <n v="1243456"/>
    <n v="603650"/>
    <n v="639806"/>
    <n v="10"/>
  </r>
  <r>
    <n v="3"/>
    <x v="2"/>
    <x v="2"/>
    <x v="5"/>
    <x v="2"/>
    <x v="3"/>
    <x v="12"/>
    <n v="15"/>
    <n v="18467"/>
    <n v="277005"/>
    <n v="155607"/>
    <n v="121398"/>
    <n v="9"/>
  </r>
  <r>
    <n v="3"/>
    <x v="2"/>
    <x v="2"/>
    <x v="5"/>
    <x v="2"/>
    <x v="3"/>
    <x v="13"/>
    <n v="4"/>
    <n v="14873"/>
    <n v="59492"/>
    <n v="30934"/>
    <n v="28558"/>
    <n v="12"/>
  </r>
  <r>
    <n v="3"/>
    <x v="2"/>
    <x v="2"/>
    <x v="5"/>
    <x v="2"/>
    <x v="3"/>
    <x v="14"/>
    <n v="4"/>
    <n v="7137"/>
    <n v="28548"/>
    <n v="12463"/>
    <n v="16085"/>
    <n v="10"/>
  </r>
  <r>
    <n v="3"/>
    <x v="2"/>
    <x v="2"/>
    <x v="4"/>
    <x v="2"/>
    <x v="3"/>
    <x v="15"/>
    <n v="7"/>
    <n v="16371"/>
    <n v="114597"/>
    <n v="52076"/>
    <n v="62521"/>
    <n v="12"/>
  </r>
  <r>
    <n v="3"/>
    <x v="2"/>
    <x v="2"/>
    <x v="5"/>
    <x v="2"/>
    <x v="4"/>
    <x v="16"/>
    <n v="7"/>
    <n v="109022"/>
    <n v="763154"/>
    <n v="329730"/>
    <n v="433424"/>
    <n v="9"/>
  </r>
  <r>
    <n v="3"/>
    <x v="2"/>
    <x v="2"/>
    <x v="4"/>
    <x v="2"/>
    <x v="4"/>
    <x v="17"/>
    <n v="10"/>
    <n v="139735"/>
    <n v="1397350"/>
    <n v="962603"/>
    <n v="434747"/>
    <n v="3"/>
  </r>
  <r>
    <n v="3"/>
    <x v="2"/>
    <x v="2"/>
    <x v="4"/>
    <x v="2"/>
    <x v="4"/>
    <x v="18"/>
    <n v="7"/>
    <n v="79189"/>
    <n v="554323"/>
    <n v="313230"/>
    <n v="241093"/>
    <n v="7"/>
  </r>
  <r>
    <n v="3"/>
    <x v="2"/>
    <x v="2"/>
    <x v="4"/>
    <x v="2"/>
    <x v="4"/>
    <x v="19"/>
    <n v="13"/>
    <n v="33673"/>
    <n v="437749"/>
    <n v="189847"/>
    <n v="247902"/>
    <n v="12"/>
  </r>
  <r>
    <n v="3"/>
    <x v="2"/>
    <x v="2"/>
    <x v="5"/>
    <x v="3"/>
    <x v="0"/>
    <x v="0"/>
    <n v="9"/>
    <n v="72249"/>
    <n v="650241"/>
    <n v="301460"/>
    <n v="348781"/>
    <n v="9"/>
  </r>
  <r>
    <n v="3"/>
    <x v="2"/>
    <x v="2"/>
    <x v="4"/>
    <x v="3"/>
    <x v="0"/>
    <x v="1"/>
    <n v="10"/>
    <n v="145511"/>
    <n v="1455110"/>
    <n v="918150"/>
    <n v="536960"/>
    <n v="0"/>
  </r>
  <r>
    <n v="3"/>
    <x v="2"/>
    <x v="2"/>
    <x v="4"/>
    <x v="3"/>
    <x v="0"/>
    <x v="2"/>
    <n v="5"/>
    <n v="140387"/>
    <n v="701935"/>
    <n v="338642"/>
    <n v="363293"/>
    <n v="2"/>
  </r>
  <r>
    <n v="3"/>
    <x v="2"/>
    <x v="2"/>
    <x v="5"/>
    <x v="3"/>
    <x v="0"/>
    <x v="3"/>
    <n v="4"/>
    <n v="27227"/>
    <n v="108908"/>
    <n v="65500"/>
    <n v="43408"/>
    <n v="8"/>
  </r>
  <r>
    <n v="3"/>
    <x v="2"/>
    <x v="2"/>
    <x v="5"/>
    <x v="3"/>
    <x v="1"/>
    <x v="4"/>
    <n v="18"/>
    <n v="123314"/>
    <n v="2219652"/>
    <n v="1303285"/>
    <n v="916367"/>
    <n v="0"/>
  </r>
  <r>
    <n v="3"/>
    <x v="2"/>
    <x v="2"/>
    <x v="5"/>
    <x v="3"/>
    <x v="1"/>
    <x v="5"/>
    <n v="18"/>
    <n v="147556"/>
    <n v="2656008"/>
    <n v="1196277"/>
    <n v="1459731"/>
    <n v="2"/>
  </r>
  <r>
    <n v="3"/>
    <x v="2"/>
    <x v="2"/>
    <x v="4"/>
    <x v="3"/>
    <x v="1"/>
    <x v="6"/>
    <n v="12"/>
    <n v="37633"/>
    <n v="451596"/>
    <n v="244705"/>
    <n v="206891"/>
    <n v="4"/>
  </r>
  <r>
    <n v="3"/>
    <x v="2"/>
    <x v="2"/>
    <x v="4"/>
    <x v="3"/>
    <x v="1"/>
    <x v="7"/>
    <n v="17"/>
    <n v="61621"/>
    <n v="1047557"/>
    <n v="426451"/>
    <n v="621106"/>
    <n v="14"/>
  </r>
  <r>
    <n v="3"/>
    <x v="2"/>
    <x v="2"/>
    <x v="5"/>
    <x v="3"/>
    <x v="2"/>
    <x v="8"/>
    <n v="3"/>
    <n v="53755"/>
    <n v="161265"/>
    <n v="74481"/>
    <n v="86784"/>
    <n v="10"/>
  </r>
  <r>
    <n v="3"/>
    <x v="2"/>
    <x v="2"/>
    <x v="5"/>
    <x v="3"/>
    <x v="2"/>
    <x v="9"/>
    <n v="10"/>
    <n v="94696"/>
    <n v="946960"/>
    <n v="489835"/>
    <n v="457125"/>
    <n v="12"/>
  </r>
  <r>
    <n v="3"/>
    <x v="2"/>
    <x v="2"/>
    <x v="4"/>
    <x v="3"/>
    <x v="2"/>
    <x v="10"/>
    <n v="2"/>
    <n v="37727"/>
    <n v="75454"/>
    <n v="33270"/>
    <n v="42184"/>
    <n v="4"/>
  </r>
  <r>
    <n v="3"/>
    <x v="2"/>
    <x v="2"/>
    <x v="5"/>
    <x v="3"/>
    <x v="2"/>
    <x v="11"/>
    <n v="18"/>
    <n v="114018"/>
    <n v="2052324"/>
    <n v="1093509"/>
    <n v="958815"/>
    <n v="12"/>
  </r>
  <r>
    <n v="3"/>
    <x v="2"/>
    <x v="2"/>
    <x v="5"/>
    <x v="3"/>
    <x v="3"/>
    <x v="12"/>
    <n v="7"/>
    <n v="17200"/>
    <n v="120400"/>
    <n v="73170"/>
    <n v="47230"/>
    <n v="6"/>
  </r>
  <r>
    <n v="3"/>
    <x v="2"/>
    <x v="2"/>
    <x v="4"/>
    <x v="3"/>
    <x v="3"/>
    <x v="13"/>
    <n v="14"/>
    <n v="16794"/>
    <n v="235116"/>
    <n v="136594"/>
    <n v="98522"/>
    <n v="5"/>
  </r>
  <r>
    <n v="3"/>
    <x v="2"/>
    <x v="2"/>
    <x v="4"/>
    <x v="3"/>
    <x v="3"/>
    <x v="14"/>
    <n v="10"/>
    <n v="19623"/>
    <n v="196230"/>
    <n v="94631"/>
    <n v="101599"/>
    <n v="13"/>
  </r>
  <r>
    <n v="3"/>
    <x v="2"/>
    <x v="2"/>
    <x v="5"/>
    <x v="3"/>
    <x v="3"/>
    <x v="15"/>
    <n v="4"/>
    <n v="18031"/>
    <n v="72124"/>
    <n v="42811"/>
    <n v="29313"/>
    <n v="3"/>
  </r>
  <r>
    <n v="3"/>
    <x v="2"/>
    <x v="2"/>
    <x v="5"/>
    <x v="3"/>
    <x v="4"/>
    <x v="16"/>
    <n v="3"/>
    <n v="36456"/>
    <n v="109368"/>
    <n v="54357"/>
    <n v="55011"/>
    <n v="10"/>
  </r>
  <r>
    <n v="3"/>
    <x v="2"/>
    <x v="2"/>
    <x v="5"/>
    <x v="3"/>
    <x v="4"/>
    <x v="17"/>
    <n v="6"/>
    <n v="88008"/>
    <n v="528048"/>
    <n v="308985"/>
    <n v="219063"/>
    <n v="12"/>
  </r>
  <r>
    <n v="3"/>
    <x v="2"/>
    <x v="2"/>
    <x v="5"/>
    <x v="3"/>
    <x v="4"/>
    <x v="18"/>
    <n v="17"/>
    <n v="84315"/>
    <n v="1433355"/>
    <n v="602415"/>
    <n v="830940"/>
    <n v="4"/>
  </r>
  <r>
    <n v="3"/>
    <x v="2"/>
    <x v="2"/>
    <x v="4"/>
    <x v="3"/>
    <x v="4"/>
    <x v="19"/>
    <n v="12"/>
    <n v="56378"/>
    <n v="676536"/>
    <n v="400543"/>
    <n v="275993"/>
    <n v="7"/>
  </r>
  <r>
    <n v="3"/>
    <x v="2"/>
    <x v="2"/>
    <x v="5"/>
    <x v="4"/>
    <x v="0"/>
    <x v="0"/>
    <n v="6"/>
    <n v="54503"/>
    <n v="327018"/>
    <n v="194661"/>
    <n v="132357"/>
    <n v="5"/>
  </r>
  <r>
    <n v="3"/>
    <x v="2"/>
    <x v="2"/>
    <x v="5"/>
    <x v="4"/>
    <x v="0"/>
    <x v="1"/>
    <n v="12"/>
    <n v="120732"/>
    <n v="1448784"/>
    <n v="778080"/>
    <n v="670704"/>
    <n v="5"/>
  </r>
  <r>
    <n v="3"/>
    <x v="2"/>
    <x v="2"/>
    <x v="5"/>
    <x v="4"/>
    <x v="0"/>
    <x v="2"/>
    <n v="6"/>
    <n v="25249"/>
    <n v="151494"/>
    <n v="105779"/>
    <n v="45715"/>
    <n v="1"/>
  </r>
  <r>
    <n v="3"/>
    <x v="2"/>
    <x v="2"/>
    <x v="4"/>
    <x v="4"/>
    <x v="0"/>
    <x v="3"/>
    <n v="6"/>
    <n v="78576"/>
    <n v="471456"/>
    <n v="329379"/>
    <n v="142077"/>
    <n v="6"/>
  </r>
  <r>
    <n v="3"/>
    <x v="2"/>
    <x v="2"/>
    <x v="5"/>
    <x v="4"/>
    <x v="1"/>
    <x v="4"/>
    <n v="8"/>
    <n v="20661"/>
    <n v="165288"/>
    <n v="93997"/>
    <n v="71291"/>
    <n v="3"/>
  </r>
  <r>
    <n v="3"/>
    <x v="2"/>
    <x v="2"/>
    <x v="4"/>
    <x v="4"/>
    <x v="1"/>
    <x v="5"/>
    <n v="5"/>
    <n v="62828"/>
    <n v="314140"/>
    <n v="185495"/>
    <n v="128645"/>
    <n v="14"/>
  </r>
  <r>
    <n v="3"/>
    <x v="2"/>
    <x v="2"/>
    <x v="5"/>
    <x v="4"/>
    <x v="1"/>
    <x v="6"/>
    <n v="16"/>
    <n v="120969"/>
    <n v="1935504"/>
    <n v="830336"/>
    <n v="1105168"/>
    <n v="8"/>
  </r>
  <r>
    <n v="3"/>
    <x v="2"/>
    <x v="2"/>
    <x v="4"/>
    <x v="4"/>
    <x v="1"/>
    <x v="7"/>
    <n v="16"/>
    <n v="88619"/>
    <n v="1417904"/>
    <n v="715008"/>
    <n v="702896"/>
    <n v="11"/>
  </r>
  <r>
    <n v="3"/>
    <x v="2"/>
    <x v="2"/>
    <x v="4"/>
    <x v="4"/>
    <x v="2"/>
    <x v="8"/>
    <n v="8"/>
    <n v="59891"/>
    <n v="479128"/>
    <n v="259910"/>
    <n v="219218"/>
    <n v="13"/>
  </r>
  <r>
    <n v="3"/>
    <x v="2"/>
    <x v="2"/>
    <x v="5"/>
    <x v="4"/>
    <x v="2"/>
    <x v="9"/>
    <n v="13"/>
    <n v="92982"/>
    <n v="1208766"/>
    <n v="628310"/>
    <n v="580456"/>
    <n v="7"/>
  </r>
  <r>
    <n v="3"/>
    <x v="2"/>
    <x v="2"/>
    <x v="5"/>
    <x v="4"/>
    <x v="2"/>
    <x v="10"/>
    <n v="5"/>
    <n v="140787"/>
    <n v="703935"/>
    <n v="477338"/>
    <n v="226597"/>
    <n v="11"/>
  </r>
  <r>
    <n v="3"/>
    <x v="2"/>
    <x v="2"/>
    <x v="5"/>
    <x v="4"/>
    <x v="2"/>
    <x v="11"/>
    <n v="1"/>
    <n v="117912"/>
    <n v="117912"/>
    <n v="70920"/>
    <n v="46992"/>
    <n v="3"/>
  </r>
  <r>
    <n v="3"/>
    <x v="2"/>
    <x v="2"/>
    <x v="4"/>
    <x v="4"/>
    <x v="3"/>
    <x v="12"/>
    <n v="6"/>
    <n v="11549"/>
    <n v="69294"/>
    <n v="29570"/>
    <n v="39724"/>
    <n v="6"/>
  </r>
  <r>
    <n v="3"/>
    <x v="2"/>
    <x v="2"/>
    <x v="4"/>
    <x v="4"/>
    <x v="3"/>
    <x v="13"/>
    <n v="1"/>
    <n v="6012"/>
    <n v="6012"/>
    <n v="3894"/>
    <n v="2118"/>
    <n v="5"/>
  </r>
  <r>
    <n v="3"/>
    <x v="2"/>
    <x v="2"/>
    <x v="4"/>
    <x v="4"/>
    <x v="3"/>
    <x v="14"/>
    <n v="2"/>
    <n v="15748"/>
    <n v="31496"/>
    <n v="12940"/>
    <n v="18556"/>
    <n v="0"/>
  </r>
  <r>
    <n v="3"/>
    <x v="2"/>
    <x v="2"/>
    <x v="4"/>
    <x v="4"/>
    <x v="3"/>
    <x v="15"/>
    <n v="18"/>
    <n v="14793"/>
    <n v="266274"/>
    <n v="136937"/>
    <n v="129337"/>
    <n v="1"/>
  </r>
  <r>
    <n v="3"/>
    <x v="2"/>
    <x v="2"/>
    <x v="4"/>
    <x v="4"/>
    <x v="4"/>
    <x v="16"/>
    <n v="9"/>
    <n v="104416"/>
    <n v="939744"/>
    <n v="462031"/>
    <n v="477713"/>
    <n v="3"/>
  </r>
  <r>
    <n v="3"/>
    <x v="2"/>
    <x v="2"/>
    <x v="4"/>
    <x v="4"/>
    <x v="4"/>
    <x v="17"/>
    <n v="4"/>
    <n v="84977"/>
    <n v="339908"/>
    <n v="188548"/>
    <n v="151360"/>
    <n v="2"/>
  </r>
  <r>
    <n v="3"/>
    <x v="2"/>
    <x v="2"/>
    <x v="4"/>
    <x v="4"/>
    <x v="4"/>
    <x v="18"/>
    <n v="11"/>
    <n v="30382"/>
    <n v="334202"/>
    <n v="233155"/>
    <n v="101047"/>
    <n v="4"/>
  </r>
  <r>
    <n v="3"/>
    <x v="2"/>
    <x v="2"/>
    <x v="4"/>
    <x v="4"/>
    <x v="4"/>
    <x v="19"/>
    <n v="10"/>
    <n v="122411"/>
    <n v="1224110"/>
    <n v="831389"/>
    <n v="392721"/>
    <n v="9"/>
  </r>
  <r>
    <n v="3"/>
    <x v="2"/>
    <x v="2"/>
    <x v="4"/>
    <x v="5"/>
    <x v="0"/>
    <x v="0"/>
    <n v="6"/>
    <n v="45169"/>
    <n v="271014"/>
    <n v="159460"/>
    <n v="111554"/>
    <n v="13"/>
  </r>
  <r>
    <n v="3"/>
    <x v="2"/>
    <x v="2"/>
    <x v="4"/>
    <x v="5"/>
    <x v="0"/>
    <x v="1"/>
    <n v="10"/>
    <n v="83133"/>
    <n v="831330"/>
    <n v="512453"/>
    <n v="318877"/>
    <n v="2"/>
  </r>
  <r>
    <n v="3"/>
    <x v="2"/>
    <x v="2"/>
    <x v="5"/>
    <x v="5"/>
    <x v="0"/>
    <x v="2"/>
    <n v="16"/>
    <n v="51750"/>
    <n v="828000"/>
    <n v="406882"/>
    <n v="421118"/>
    <n v="8"/>
  </r>
  <r>
    <n v="3"/>
    <x v="2"/>
    <x v="2"/>
    <x v="5"/>
    <x v="5"/>
    <x v="0"/>
    <x v="3"/>
    <n v="15"/>
    <n v="132020"/>
    <n v="1980300"/>
    <n v="805720"/>
    <n v="1174580"/>
    <n v="10"/>
  </r>
  <r>
    <n v="3"/>
    <x v="2"/>
    <x v="2"/>
    <x v="5"/>
    <x v="5"/>
    <x v="1"/>
    <x v="4"/>
    <n v="2"/>
    <n v="72130"/>
    <n v="144260"/>
    <n v="72682"/>
    <n v="71578"/>
    <n v="3"/>
  </r>
  <r>
    <n v="3"/>
    <x v="2"/>
    <x v="2"/>
    <x v="5"/>
    <x v="5"/>
    <x v="1"/>
    <x v="5"/>
    <n v="18"/>
    <n v="68895"/>
    <n v="1240110"/>
    <n v="843050"/>
    <n v="397060"/>
    <n v="1"/>
  </r>
  <r>
    <n v="3"/>
    <x v="2"/>
    <x v="2"/>
    <x v="4"/>
    <x v="5"/>
    <x v="1"/>
    <x v="6"/>
    <n v="1"/>
    <n v="138947"/>
    <n v="138947"/>
    <n v="80854"/>
    <n v="58093"/>
    <n v="0"/>
  </r>
  <r>
    <n v="3"/>
    <x v="2"/>
    <x v="2"/>
    <x v="4"/>
    <x v="5"/>
    <x v="1"/>
    <x v="7"/>
    <n v="14"/>
    <n v="51055"/>
    <n v="714770"/>
    <n v="449906"/>
    <n v="264864"/>
    <n v="12"/>
  </r>
  <r>
    <n v="3"/>
    <x v="2"/>
    <x v="2"/>
    <x v="4"/>
    <x v="5"/>
    <x v="2"/>
    <x v="8"/>
    <n v="3"/>
    <n v="55298"/>
    <n v="165894"/>
    <n v="86198"/>
    <n v="79696"/>
    <n v="8"/>
  </r>
  <r>
    <n v="3"/>
    <x v="2"/>
    <x v="2"/>
    <x v="4"/>
    <x v="5"/>
    <x v="2"/>
    <x v="9"/>
    <n v="13"/>
    <n v="68244"/>
    <n v="887172"/>
    <n v="387275"/>
    <n v="499897"/>
    <n v="4"/>
  </r>
  <r>
    <n v="3"/>
    <x v="2"/>
    <x v="2"/>
    <x v="4"/>
    <x v="5"/>
    <x v="2"/>
    <x v="10"/>
    <n v="2"/>
    <n v="37347"/>
    <n v="74694"/>
    <n v="32906"/>
    <n v="41788"/>
    <n v="3"/>
  </r>
  <r>
    <n v="3"/>
    <x v="2"/>
    <x v="2"/>
    <x v="4"/>
    <x v="5"/>
    <x v="2"/>
    <x v="11"/>
    <n v="13"/>
    <n v="148955"/>
    <n v="1936415"/>
    <n v="1225783"/>
    <n v="710632"/>
    <n v="11"/>
  </r>
  <r>
    <n v="3"/>
    <x v="2"/>
    <x v="2"/>
    <x v="4"/>
    <x v="5"/>
    <x v="3"/>
    <x v="12"/>
    <n v="13"/>
    <n v="13734"/>
    <n v="178542"/>
    <n v="98527"/>
    <n v="80015"/>
    <n v="1"/>
  </r>
  <r>
    <n v="3"/>
    <x v="2"/>
    <x v="2"/>
    <x v="4"/>
    <x v="5"/>
    <x v="3"/>
    <x v="13"/>
    <n v="6"/>
    <n v="7719"/>
    <n v="46314"/>
    <n v="21527"/>
    <n v="24787"/>
    <n v="13"/>
  </r>
  <r>
    <n v="3"/>
    <x v="2"/>
    <x v="2"/>
    <x v="5"/>
    <x v="5"/>
    <x v="3"/>
    <x v="14"/>
    <n v="2"/>
    <n v="10179"/>
    <n v="20358"/>
    <n v="10371"/>
    <n v="9987"/>
    <n v="14"/>
  </r>
  <r>
    <n v="3"/>
    <x v="2"/>
    <x v="2"/>
    <x v="5"/>
    <x v="5"/>
    <x v="3"/>
    <x v="15"/>
    <n v="19"/>
    <n v="18828"/>
    <n v="357732"/>
    <n v="226883"/>
    <n v="130849"/>
    <n v="9"/>
  </r>
  <r>
    <n v="3"/>
    <x v="2"/>
    <x v="2"/>
    <x v="4"/>
    <x v="5"/>
    <x v="4"/>
    <x v="16"/>
    <n v="2"/>
    <n v="75677"/>
    <n v="151354"/>
    <n v="105714"/>
    <n v="45640"/>
    <n v="12"/>
  </r>
  <r>
    <n v="3"/>
    <x v="2"/>
    <x v="2"/>
    <x v="5"/>
    <x v="5"/>
    <x v="4"/>
    <x v="17"/>
    <n v="15"/>
    <n v="45032"/>
    <n v="675480"/>
    <n v="357397"/>
    <n v="318083"/>
    <n v="8"/>
  </r>
  <r>
    <n v="3"/>
    <x v="2"/>
    <x v="2"/>
    <x v="5"/>
    <x v="5"/>
    <x v="4"/>
    <x v="18"/>
    <n v="3"/>
    <n v="81588"/>
    <n v="244764"/>
    <n v="106818"/>
    <n v="137946"/>
    <n v="13"/>
  </r>
  <r>
    <n v="3"/>
    <x v="2"/>
    <x v="2"/>
    <x v="5"/>
    <x v="5"/>
    <x v="4"/>
    <x v="19"/>
    <n v="14"/>
    <n v="29074"/>
    <n v="407036"/>
    <n v="184521"/>
    <n v="222515"/>
    <n v="11"/>
  </r>
  <r>
    <n v="3"/>
    <x v="2"/>
    <x v="2"/>
    <x v="4"/>
    <x v="6"/>
    <x v="0"/>
    <x v="0"/>
    <n v="1"/>
    <n v="117539"/>
    <n v="117539"/>
    <n v="69342"/>
    <n v="48197"/>
    <n v="7"/>
  </r>
  <r>
    <n v="3"/>
    <x v="2"/>
    <x v="2"/>
    <x v="5"/>
    <x v="6"/>
    <x v="0"/>
    <x v="1"/>
    <n v="17"/>
    <n v="63108"/>
    <n v="1072836"/>
    <n v="627143"/>
    <n v="445693"/>
    <n v="3"/>
  </r>
  <r>
    <n v="3"/>
    <x v="2"/>
    <x v="2"/>
    <x v="4"/>
    <x v="6"/>
    <x v="0"/>
    <x v="2"/>
    <n v="4"/>
    <n v="32411"/>
    <n v="129644"/>
    <n v="84839"/>
    <n v="44805"/>
    <n v="1"/>
  </r>
  <r>
    <n v="3"/>
    <x v="2"/>
    <x v="2"/>
    <x v="5"/>
    <x v="6"/>
    <x v="0"/>
    <x v="3"/>
    <n v="5"/>
    <n v="52371"/>
    <n v="261855"/>
    <n v="136541"/>
    <n v="125314"/>
    <n v="12"/>
  </r>
  <r>
    <n v="3"/>
    <x v="2"/>
    <x v="2"/>
    <x v="4"/>
    <x v="6"/>
    <x v="1"/>
    <x v="4"/>
    <n v="3"/>
    <n v="116774"/>
    <n v="350322"/>
    <n v="195357"/>
    <n v="154965"/>
    <n v="5"/>
  </r>
  <r>
    <n v="3"/>
    <x v="2"/>
    <x v="2"/>
    <x v="5"/>
    <x v="6"/>
    <x v="1"/>
    <x v="5"/>
    <n v="14"/>
    <n v="51174"/>
    <n v="716436"/>
    <n v="444250"/>
    <n v="272186"/>
    <n v="5"/>
  </r>
  <r>
    <n v="3"/>
    <x v="2"/>
    <x v="2"/>
    <x v="5"/>
    <x v="6"/>
    <x v="1"/>
    <x v="6"/>
    <n v="5"/>
    <n v="81949"/>
    <n v="409745"/>
    <n v="194454"/>
    <n v="215291"/>
    <n v="13"/>
  </r>
  <r>
    <n v="3"/>
    <x v="2"/>
    <x v="2"/>
    <x v="5"/>
    <x v="6"/>
    <x v="1"/>
    <x v="7"/>
    <n v="6"/>
    <n v="93294"/>
    <n v="559764"/>
    <n v="321665"/>
    <n v="238099"/>
    <n v="6"/>
  </r>
  <r>
    <n v="3"/>
    <x v="2"/>
    <x v="2"/>
    <x v="5"/>
    <x v="6"/>
    <x v="2"/>
    <x v="8"/>
    <n v="7"/>
    <n v="111012"/>
    <n v="777084"/>
    <n v="361002"/>
    <n v="416082"/>
    <n v="4"/>
  </r>
  <r>
    <n v="3"/>
    <x v="2"/>
    <x v="2"/>
    <x v="4"/>
    <x v="6"/>
    <x v="2"/>
    <x v="9"/>
    <n v="18"/>
    <n v="133132"/>
    <n v="2396376"/>
    <n v="1660118"/>
    <n v="736258"/>
    <n v="1"/>
  </r>
  <r>
    <n v="3"/>
    <x v="2"/>
    <x v="2"/>
    <x v="4"/>
    <x v="6"/>
    <x v="2"/>
    <x v="10"/>
    <n v="5"/>
    <n v="73420"/>
    <n v="367100"/>
    <n v="151535"/>
    <n v="215565"/>
    <n v="0"/>
  </r>
  <r>
    <n v="3"/>
    <x v="2"/>
    <x v="2"/>
    <x v="5"/>
    <x v="6"/>
    <x v="2"/>
    <x v="11"/>
    <n v="3"/>
    <n v="73744"/>
    <n v="221232"/>
    <n v="124860"/>
    <n v="96372"/>
    <n v="14"/>
  </r>
  <r>
    <n v="3"/>
    <x v="2"/>
    <x v="2"/>
    <x v="4"/>
    <x v="6"/>
    <x v="3"/>
    <x v="12"/>
    <n v="4"/>
    <n v="13737"/>
    <n v="54948"/>
    <n v="27331"/>
    <n v="27617"/>
    <n v="11"/>
  </r>
  <r>
    <n v="3"/>
    <x v="2"/>
    <x v="2"/>
    <x v="4"/>
    <x v="6"/>
    <x v="3"/>
    <x v="13"/>
    <n v="18"/>
    <n v="9839"/>
    <n v="177102"/>
    <n v="113913"/>
    <n v="63189"/>
    <n v="12"/>
  </r>
  <r>
    <n v="3"/>
    <x v="2"/>
    <x v="2"/>
    <x v="5"/>
    <x v="6"/>
    <x v="3"/>
    <x v="14"/>
    <n v="6"/>
    <n v="15793"/>
    <n v="94758"/>
    <n v="60219"/>
    <n v="34539"/>
    <n v="12"/>
  </r>
  <r>
    <n v="3"/>
    <x v="2"/>
    <x v="2"/>
    <x v="5"/>
    <x v="6"/>
    <x v="3"/>
    <x v="15"/>
    <n v="17"/>
    <n v="9200"/>
    <n v="156400"/>
    <n v="67352"/>
    <n v="89048"/>
    <n v="7"/>
  </r>
  <r>
    <n v="3"/>
    <x v="2"/>
    <x v="2"/>
    <x v="5"/>
    <x v="6"/>
    <x v="4"/>
    <x v="16"/>
    <n v="9"/>
    <n v="110536"/>
    <n v="994824"/>
    <n v="603301"/>
    <n v="391523"/>
    <n v="11"/>
  </r>
  <r>
    <n v="3"/>
    <x v="2"/>
    <x v="2"/>
    <x v="4"/>
    <x v="6"/>
    <x v="4"/>
    <x v="17"/>
    <n v="16"/>
    <n v="26172"/>
    <n v="418752"/>
    <n v="202596"/>
    <n v="216156"/>
    <n v="1"/>
  </r>
  <r>
    <n v="3"/>
    <x v="2"/>
    <x v="2"/>
    <x v="5"/>
    <x v="6"/>
    <x v="4"/>
    <x v="18"/>
    <n v="8"/>
    <n v="110900"/>
    <n v="887200"/>
    <n v="574497"/>
    <n v="312703"/>
    <n v="6"/>
  </r>
  <r>
    <n v="3"/>
    <x v="2"/>
    <x v="2"/>
    <x v="4"/>
    <x v="6"/>
    <x v="4"/>
    <x v="19"/>
    <n v="2"/>
    <n v="135463"/>
    <n v="270926"/>
    <n v="181123"/>
    <n v="89803"/>
    <n v="7"/>
  </r>
  <r>
    <n v="3"/>
    <x v="2"/>
    <x v="2"/>
    <x v="4"/>
    <x v="7"/>
    <x v="0"/>
    <x v="0"/>
    <n v="17"/>
    <n v="69230"/>
    <n v="1176910"/>
    <n v="784783"/>
    <n v="392127"/>
    <n v="6"/>
  </r>
  <r>
    <n v="3"/>
    <x v="2"/>
    <x v="2"/>
    <x v="5"/>
    <x v="7"/>
    <x v="0"/>
    <x v="1"/>
    <n v="13"/>
    <n v="116722"/>
    <n v="1517386"/>
    <n v="655067"/>
    <n v="862319"/>
    <n v="11"/>
  </r>
  <r>
    <n v="3"/>
    <x v="2"/>
    <x v="2"/>
    <x v="5"/>
    <x v="7"/>
    <x v="0"/>
    <x v="2"/>
    <n v="1"/>
    <n v="42614"/>
    <n v="42614"/>
    <n v="25741"/>
    <n v="16873"/>
    <n v="12"/>
  </r>
  <r>
    <n v="3"/>
    <x v="2"/>
    <x v="2"/>
    <x v="4"/>
    <x v="7"/>
    <x v="0"/>
    <x v="3"/>
    <n v="8"/>
    <n v="80920"/>
    <n v="647360"/>
    <n v="403863"/>
    <n v="243497"/>
    <n v="0"/>
  </r>
  <r>
    <n v="3"/>
    <x v="2"/>
    <x v="2"/>
    <x v="5"/>
    <x v="7"/>
    <x v="1"/>
    <x v="4"/>
    <n v="13"/>
    <n v="48082"/>
    <n v="625066"/>
    <n v="263388"/>
    <n v="361678"/>
    <n v="7"/>
  </r>
  <r>
    <n v="3"/>
    <x v="2"/>
    <x v="2"/>
    <x v="5"/>
    <x v="7"/>
    <x v="1"/>
    <x v="5"/>
    <n v="17"/>
    <n v="103588"/>
    <n v="1760996"/>
    <n v="973080"/>
    <n v="787916"/>
    <n v="7"/>
  </r>
  <r>
    <n v="3"/>
    <x v="2"/>
    <x v="2"/>
    <x v="4"/>
    <x v="7"/>
    <x v="1"/>
    <x v="6"/>
    <n v="14"/>
    <n v="68355"/>
    <n v="956970"/>
    <n v="483184"/>
    <n v="473786"/>
    <n v="14"/>
  </r>
  <r>
    <n v="3"/>
    <x v="2"/>
    <x v="2"/>
    <x v="4"/>
    <x v="7"/>
    <x v="1"/>
    <x v="7"/>
    <n v="19"/>
    <n v="123814"/>
    <n v="2352466"/>
    <n v="1494175"/>
    <n v="858291"/>
    <n v="2"/>
  </r>
  <r>
    <n v="3"/>
    <x v="2"/>
    <x v="2"/>
    <x v="5"/>
    <x v="7"/>
    <x v="2"/>
    <x v="8"/>
    <n v="11"/>
    <n v="112601"/>
    <n v="1238611"/>
    <n v="532006"/>
    <n v="706605"/>
    <n v="13"/>
  </r>
  <r>
    <n v="3"/>
    <x v="2"/>
    <x v="2"/>
    <x v="4"/>
    <x v="7"/>
    <x v="2"/>
    <x v="9"/>
    <n v="8"/>
    <n v="25439"/>
    <n v="203512"/>
    <n v="107309"/>
    <n v="96203"/>
    <n v="14"/>
  </r>
  <r>
    <n v="3"/>
    <x v="2"/>
    <x v="2"/>
    <x v="5"/>
    <x v="7"/>
    <x v="2"/>
    <x v="10"/>
    <n v="16"/>
    <n v="129787"/>
    <n v="2076592"/>
    <n v="1390631"/>
    <n v="685961"/>
    <n v="7"/>
  </r>
  <r>
    <n v="3"/>
    <x v="2"/>
    <x v="2"/>
    <x v="4"/>
    <x v="7"/>
    <x v="2"/>
    <x v="11"/>
    <n v="8"/>
    <n v="147896"/>
    <n v="1183168"/>
    <n v="819695"/>
    <n v="363473"/>
    <n v="14"/>
  </r>
  <r>
    <n v="3"/>
    <x v="2"/>
    <x v="2"/>
    <x v="5"/>
    <x v="7"/>
    <x v="3"/>
    <x v="12"/>
    <n v="18"/>
    <n v="14154"/>
    <n v="254772"/>
    <n v="111186"/>
    <n v="143586"/>
    <n v="13"/>
  </r>
  <r>
    <n v="3"/>
    <x v="2"/>
    <x v="2"/>
    <x v="4"/>
    <x v="7"/>
    <x v="3"/>
    <x v="13"/>
    <n v="4"/>
    <n v="14805"/>
    <n v="59220"/>
    <n v="24918"/>
    <n v="34302"/>
    <n v="8"/>
  </r>
  <r>
    <n v="3"/>
    <x v="2"/>
    <x v="2"/>
    <x v="5"/>
    <x v="7"/>
    <x v="3"/>
    <x v="14"/>
    <n v="18"/>
    <n v="19089"/>
    <n v="343602"/>
    <n v="219772"/>
    <n v="123830"/>
    <n v="11"/>
  </r>
  <r>
    <n v="3"/>
    <x v="2"/>
    <x v="2"/>
    <x v="5"/>
    <x v="7"/>
    <x v="3"/>
    <x v="15"/>
    <n v="8"/>
    <n v="5769"/>
    <n v="46152"/>
    <n v="26794"/>
    <n v="19358"/>
    <n v="4"/>
  </r>
  <r>
    <n v="3"/>
    <x v="2"/>
    <x v="2"/>
    <x v="5"/>
    <x v="7"/>
    <x v="4"/>
    <x v="16"/>
    <n v="16"/>
    <n v="29503"/>
    <n v="472048"/>
    <n v="276124"/>
    <n v="195924"/>
    <n v="1"/>
  </r>
  <r>
    <n v="3"/>
    <x v="2"/>
    <x v="2"/>
    <x v="4"/>
    <x v="7"/>
    <x v="4"/>
    <x v="17"/>
    <n v="11"/>
    <n v="36905"/>
    <n v="405955"/>
    <n v="203578"/>
    <n v="202377"/>
    <n v="7"/>
  </r>
  <r>
    <n v="3"/>
    <x v="2"/>
    <x v="2"/>
    <x v="5"/>
    <x v="7"/>
    <x v="4"/>
    <x v="18"/>
    <n v="18"/>
    <n v="46806"/>
    <n v="842508"/>
    <n v="361017"/>
    <n v="481491"/>
    <n v="7"/>
  </r>
  <r>
    <n v="3"/>
    <x v="2"/>
    <x v="2"/>
    <x v="5"/>
    <x v="7"/>
    <x v="4"/>
    <x v="19"/>
    <n v="14"/>
    <n v="75419"/>
    <n v="1055866"/>
    <n v="545455"/>
    <n v="510411"/>
    <n v="1"/>
  </r>
  <r>
    <n v="3"/>
    <x v="2"/>
    <x v="2"/>
    <x v="5"/>
    <x v="8"/>
    <x v="0"/>
    <x v="0"/>
    <n v="12"/>
    <n v="113471"/>
    <n v="1361652"/>
    <n v="747294"/>
    <n v="614358"/>
    <n v="0"/>
  </r>
  <r>
    <n v="3"/>
    <x v="2"/>
    <x v="2"/>
    <x v="4"/>
    <x v="8"/>
    <x v="0"/>
    <x v="1"/>
    <n v="3"/>
    <n v="50841"/>
    <n v="152523"/>
    <n v="98344"/>
    <n v="54179"/>
    <n v="6"/>
  </r>
  <r>
    <n v="3"/>
    <x v="2"/>
    <x v="2"/>
    <x v="4"/>
    <x v="8"/>
    <x v="0"/>
    <x v="2"/>
    <n v="7"/>
    <n v="96272"/>
    <n v="673904"/>
    <n v="321809"/>
    <n v="352095"/>
    <n v="14"/>
  </r>
  <r>
    <n v="3"/>
    <x v="2"/>
    <x v="2"/>
    <x v="5"/>
    <x v="8"/>
    <x v="0"/>
    <x v="3"/>
    <n v="18"/>
    <n v="120500"/>
    <n v="2169000"/>
    <n v="1358905"/>
    <n v="810095"/>
    <n v="4"/>
  </r>
  <r>
    <n v="3"/>
    <x v="2"/>
    <x v="2"/>
    <x v="4"/>
    <x v="8"/>
    <x v="1"/>
    <x v="4"/>
    <n v="8"/>
    <n v="118605"/>
    <n v="948840"/>
    <n v="586902"/>
    <n v="361938"/>
    <n v="6"/>
  </r>
  <r>
    <n v="3"/>
    <x v="2"/>
    <x v="2"/>
    <x v="4"/>
    <x v="8"/>
    <x v="1"/>
    <x v="5"/>
    <n v="12"/>
    <n v="128255"/>
    <n v="1539060"/>
    <n v="697546"/>
    <n v="841514"/>
    <n v="5"/>
  </r>
  <r>
    <n v="3"/>
    <x v="2"/>
    <x v="2"/>
    <x v="5"/>
    <x v="8"/>
    <x v="1"/>
    <x v="6"/>
    <n v="11"/>
    <n v="78712"/>
    <n v="865832"/>
    <n v="589818"/>
    <n v="276014"/>
    <n v="12"/>
  </r>
  <r>
    <n v="3"/>
    <x v="2"/>
    <x v="2"/>
    <x v="4"/>
    <x v="8"/>
    <x v="1"/>
    <x v="7"/>
    <n v="13"/>
    <n v="105457"/>
    <n v="1370941"/>
    <n v="592771"/>
    <n v="778170"/>
    <n v="4"/>
  </r>
  <r>
    <n v="3"/>
    <x v="2"/>
    <x v="2"/>
    <x v="5"/>
    <x v="8"/>
    <x v="2"/>
    <x v="8"/>
    <n v="15"/>
    <n v="75731"/>
    <n v="1135965"/>
    <n v="733078"/>
    <n v="402887"/>
    <n v="14"/>
  </r>
  <r>
    <n v="3"/>
    <x v="2"/>
    <x v="2"/>
    <x v="4"/>
    <x v="8"/>
    <x v="2"/>
    <x v="9"/>
    <n v="15"/>
    <n v="122386"/>
    <n v="1835790"/>
    <n v="817298"/>
    <n v="1018492"/>
    <n v="11"/>
  </r>
  <r>
    <n v="3"/>
    <x v="2"/>
    <x v="2"/>
    <x v="4"/>
    <x v="8"/>
    <x v="2"/>
    <x v="10"/>
    <n v="13"/>
    <n v="128821"/>
    <n v="1674673"/>
    <n v="942290"/>
    <n v="732383"/>
    <n v="12"/>
  </r>
  <r>
    <n v="3"/>
    <x v="2"/>
    <x v="2"/>
    <x v="5"/>
    <x v="8"/>
    <x v="2"/>
    <x v="11"/>
    <n v="1"/>
    <n v="145623"/>
    <n v="145623"/>
    <n v="84982"/>
    <n v="60641"/>
    <n v="5"/>
  </r>
  <r>
    <n v="3"/>
    <x v="2"/>
    <x v="2"/>
    <x v="4"/>
    <x v="8"/>
    <x v="3"/>
    <x v="12"/>
    <n v="19"/>
    <n v="5022"/>
    <n v="95418"/>
    <n v="57886"/>
    <n v="37532"/>
    <n v="6"/>
  </r>
  <r>
    <n v="3"/>
    <x v="2"/>
    <x v="2"/>
    <x v="4"/>
    <x v="8"/>
    <x v="3"/>
    <x v="13"/>
    <n v="12"/>
    <n v="14496"/>
    <n v="173952"/>
    <n v="109300"/>
    <n v="64652"/>
    <n v="14"/>
  </r>
  <r>
    <n v="3"/>
    <x v="2"/>
    <x v="2"/>
    <x v="4"/>
    <x v="8"/>
    <x v="3"/>
    <x v="14"/>
    <n v="8"/>
    <n v="13553"/>
    <n v="108424"/>
    <n v="61521"/>
    <n v="46903"/>
    <n v="7"/>
  </r>
  <r>
    <n v="3"/>
    <x v="2"/>
    <x v="2"/>
    <x v="4"/>
    <x v="8"/>
    <x v="3"/>
    <x v="15"/>
    <n v="1"/>
    <n v="10995"/>
    <n v="10995"/>
    <n v="6794"/>
    <n v="4201"/>
    <n v="0"/>
  </r>
  <r>
    <n v="3"/>
    <x v="2"/>
    <x v="2"/>
    <x v="5"/>
    <x v="8"/>
    <x v="4"/>
    <x v="16"/>
    <n v="4"/>
    <n v="133767"/>
    <n v="535068"/>
    <n v="245160"/>
    <n v="289908"/>
    <n v="9"/>
  </r>
  <r>
    <n v="3"/>
    <x v="2"/>
    <x v="2"/>
    <x v="4"/>
    <x v="8"/>
    <x v="4"/>
    <x v="17"/>
    <n v="2"/>
    <n v="130058"/>
    <n v="260116"/>
    <n v="128309"/>
    <n v="131807"/>
    <n v="4"/>
  </r>
  <r>
    <n v="3"/>
    <x v="2"/>
    <x v="2"/>
    <x v="4"/>
    <x v="8"/>
    <x v="4"/>
    <x v="18"/>
    <n v="14"/>
    <n v="100102"/>
    <n v="1401428"/>
    <n v="819125"/>
    <n v="582303"/>
    <n v="1"/>
  </r>
  <r>
    <n v="3"/>
    <x v="2"/>
    <x v="2"/>
    <x v="4"/>
    <x v="8"/>
    <x v="4"/>
    <x v="19"/>
    <n v="9"/>
    <n v="87695"/>
    <n v="789255"/>
    <n v="501285"/>
    <n v="287970"/>
    <n v="3"/>
  </r>
  <r>
    <n v="3"/>
    <x v="2"/>
    <x v="2"/>
    <x v="5"/>
    <x v="9"/>
    <x v="0"/>
    <x v="0"/>
    <n v="4"/>
    <n v="67701"/>
    <n v="270804"/>
    <n v="177218"/>
    <n v="93586"/>
    <n v="9"/>
  </r>
  <r>
    <n v="3"/>
    <x v="2"/>
    <x v="2"/>
    <x v="5"/>
    <x v="9"/>
    <x v="0"/>
    <x v="1"/>
    <n v="12"/>
    <n v="46832"/>
    <n v="561984"/>
    <n v="226653"/>
    <n v="335331"/>
    <n v="8"/>
  </r>
  <r>
    <n v="3"/>
    <x v="2"/>
    <x v="2"/>
    <x v="4"/>
    <x v="9"/>
    <x v="0"/>
    <x v="2"/>
    <n v="2"/>
    <n v="60372"/>
    <n v="120744"/>
    <n v="61625"/>
    <n v="59119"/>
    <n v="10"/>
  </r>
  <r>
    <n v="3"/>
    <x v="2"/>
    <x v="2"/>
    <x v="5"/>
    <x v="9"/>
    <x v="0"/>
    <x v="3"/>
    <n v="16"/>
    <n v="120082"/>
    <n v="1921312"/>
    <n v="1253831"/>
    <n v="667481"/>
    <n v="5"/>
  </r>
  <r>
    <n v="3"/>
    <x v="2"/>
    <x v="2"/>
    <x v="5"/>
    <x v="9"/>
    <x v="1"/>
    <x v="4"/>
    <n v="19"/>
    <n v="135812"/>
    <n v="2580428"/>
    <n v="1128715"/>
    <n v="1451713"/>
    <n v="14"/>
  </r>
  <r>
    <n v="3"/>
    <x v="2"/>
    <x v="2"/>
    <x v="5"/>
    <x v="9"/>
    <x v="1"/>
    <x v="5"/>
    <n v="4"/>
    <n v="127539"/>
    <n v="510156"/>
    <n v="323500"/>
    <n v="186656"/>
    <n v="5"/>
  </r>
  <r>
    <n v="3"/>
    <x v="2"/>
    <x v="2"/>
    <x v="5"/>
    <x v="9"/>
    <x v="1"/>
    <x v="6"/>
    <n v="3"/>
    <n v="43705"/>
    <n v="131115"/>
    <n v="67846"/>
    <n v="63269"/>
    <n v="4"/>
  </r>
  <r>
    <n v="3"/>
    <x v="2"/>
    <x v="2"/>
    <x v="4"/>
    <x v="9"/>
    <x v="1"/>
    <x v="7"/>
    <n v="8"/>
    <n v="139654"/>
    <n v="1117232"/>
    <n v="447971"/>
    <n v="669261"/>
    <n v="5"/>
  </r>
  <r>
    <n v="3"/>
    <x v="2"/>
    <x v="2"/>
    <x v="4"/>
    <x v="9"/>
    <x v="2"/>
    <x v="8"/>
    <n v="14"/>
    <n v="124195"/>
    <n v="1738730"/>
    <n v="790071"/>
    <n v="948659"/>
    <n v="12"/>
  </r>
  <r>
    <n v="3"/>
    <x v="2"/>
    <x v="2"/>
    <x v="4"/>
    <x v="9"/>
    <x v="2"/>
    <x v="9"/>
    <n v="17"/>
    <n v="47766"/>
    <n v="812022"/>
    <n v="537784"/>
    <n v="274238"/>
    <n v="12"/>
  </r>
  <r>
    <n v="3"/>
    <x v="2"/>
    <x v="2"/>
    <x v="5"/>
    <x v="9"/>
    <x v="2"/>
    <x v="10"/>
    <n v="14"/>
    <n v="89122"/>
    <n v="1247708"/>
    <n v="523358"/>
    <n v="724350"/>
    <n v="9"/>
  </r>
  <r>
    <n v="3"/>
    <x v="2"/>
    <x v="2"/>
    <x v="4"/>
    <x v="9"/>
    <x v="2"/>
    <x v="11"/>
    <n v="4"/>
    <n v="56727"/>
    <n v="226908"/>
    <n v="131844"/>
    <n v="95064"/>
    <n v="1"/>
  </r>
  <r>
    <n v="3"/>
    <x v="2"/>
    <x v="2"/>
    <x v="5"/>
    <x v="9"/>
    <x v="3"/>
    <x v="12"/>
    <n v="18"/>
    <n v="19226"/>
    <n v="346068"/>
    <n v="166440"/>
    <n v="179628"/>
    <n v="11"/>
  </r>
  <r>
    <n v="3"/>
    <x v="2"/>
    <x v="2"/>
    <x v="5"/>
    <x v="9"/>
    <x v="3"/>
    <x v="13"/>
    <n v="19"/>
    <n v="17080"/>
    <n v="324520"/>
    <n v="191774"/>
    <n v="132746"/>
    <n v="2"/>
  </r>
  <r>
    <n v="3"/>
    <x v="2"/>
    <x v="2"/>
    <x v="4"/>
    <x v="9"/>
    <x v="3"/>
    <x v="14"/>
    <n v="13"/>
    <n v="18387"/>
    <n v="239031"/>
    <n v="151896"/>
    <n v="87135"/>
    <n v="5"/>
  </r>
  <r>
    <n v="3"/>
    <x v="2"/>
    <x v="2"/>
    <x v="4"/>
    <x v="9"/>
    <x v="3"/>
    <x v="15"/>
    <n v="4"/>
    <n v="15258"/>
    <n v="61032"/>
    <n v="32472"/>
    <n v="28560"/>
    <n v="3"/>
  </r>
  <r>
    <n v="3"/>
    <x v="2"/>
    <x v="2"/>
    <x v="4"/>
    <x v="9"/>
    <x v="4"/>
    <x v="16"/>
    <n v="17"/>
    <n v="144086"/>
    <n v="2449462"/>
    <n v="1153102"/>
    <n v="1296360"/>
    <n v="14"/>
  </r>
  <r>
    <n v="3"/>
    <x v="2"/>
    <x v="2"/>
    <x v="4"/>
    <x v="9"/>
    <x v="4"/>
    <x v="17"/>
    <n v="17"/>
    <n v="104730"/>
    <n v="1780410"/>
    <n v="1140192"/>
    <n v="640218"/>
    <n v="14"/>
  </r>
  <r>
    <n v="3"/>
    <x v="2"/>
    <x v="2"/>
    <x v="5"/>
    <x v="9"/>
    <x v="4"/>
    <x v="18"/>
    <n v="11"/>
    <n v="36184"/>
    <n v="398024"/>
    <n v="270630"/>
    <n v="127394"/>
    <n v="12"/>
  </r>
  <r>
    <n v="3"/>
    <x v="2"/>
    <x v="2"/>
    <x v="5"/>
    <x v="9"/>
    <x v="4"/>
    <x v="19"/>
    <n v="1"/>
    <n v="79792"/>
    <n v="79792"/>
    <n v="47178"/>
    <n v="32614"/>
    <n v="3"/>
  </r>
  <r>
    <n v="3"/>
    <x v="2"/>
    <x v="2"/>
    <x v="4"/>
    <x v="10"/>
    <x v="0"/>
    <x v="0"/>
    <n v="16"/>
    <n v="148046"/>
    <n v="2368736"/>
    <n v="1031586"/>
    <n v="1337150"/>
    <n v="5"/>
  </r>
  <r>
    <n v="3"/>
    <x v="2"/>
    <x v="2"/>
    <x v="4"/>
    <x v="10"/>
    <x v="0"/>
    <x v="1"/>
    <n v="15"/>
    <n v="104045"/>
    <n v="1560675"/>
    <n v="974120"/>
    <n v="586555"/>
    <n v="6"/>
  </r>
  <r>
    <n v="3"/>
    <x v="2"/>
    <x v="2"/>
    <x v="5"/>
    <x v="10"/>
    <x v="0"/>
    <x v="2"/>
    <n v="9"/>
    <n v="131193"/>
    <n v="1180737"/>
    <n v="680495"/>
    <n v="500242"/>
    <n v="8"/>
  </r>
  <r>
    <n v="3"/>
    <x v="2"/>
    <x v="2"/>
    <x v="5"/>
    <x v="10"/>
    <x v="0"/>
    <x v="3"/>
    <n v="10"/>
    <n v="54865"/>
    <n v="548650"/>
    <n v="246666"/>
    <n v="301984"/>
    <n v="10"/>
  </r>
  <r>
    <n v="3"/>
    <x v="2"/>
    <x v="2"/>
    <x v="4"/>
    <x v="10"/>
    <x v="1"/>
    <x v="4"/>
    <n v="17"/>
    <n v="128381"/>
    <n v="2182477"/>
    <n v="1417538"/>
    <n v="764939"/>
    <n v="12"/>
  </r>
  <r>
    <n v="3"/>
    <x v="2"/>
    <x v="2"/>
    <x v="4"/>
    <x v="10"/>
    <x v="1"/>
    <x v="5"/>
    <n v="6"/>
    <n v="73072"/>
    <n v="438432"/>
    <n v="297644"/>
    <n v="140788"/>
    <n v="2"/>
  </r>
  <r>
    <n v="3"/>
    <x v="2"/>
    <x v="2"/>
    <x v="5"/>
    <x v="10"/>
    <x v="1"/>
    <x v="6"/>
    <n v="19"/>
    <n v="103369"/>
    <n v="1964011"/>
    <n v="1288034"/>
    <n v="675977"/>
    <n v="9"/>
  </r>
  <r>
    <n v="3"/>
    <x v="2"/>
    <x v="2"/>
    <x v="4"/>
    <x v="10"/>
    <x v="1"/>
    <x v="7"/>
    <n v="19"/>
    <n v="114788"/>
    <n v="2180972"/>
    <n v="1423258"/>
    <n v="757714"/>
    <n v="4"/>
  </r>
  <r>
    <n v="3"/>
    <x v="2"/>
    <x v="2"/>
    <x v="5"/>
    <x v="10"/>
    <x v="2"/>
    <x v="8"/>
    <n v="17"/>
    <n v="149940"/>
    <n v="2548980"/>
    <n v="1369964"/>
    <n v="1179016"/>
    <n v="4"/>
  </r>
  <r>
    <n v="3"/>
    <x v="2"/>
    <x v="2"/>
    <x v="5"/>
    <x v="10"/>
    <x v="2"/>
    <x v="9"/>
    <n v="4"/>
    <n v="134245"/>
    <n v="536980"/>
    <n v="316469"/>
    <n v="220511"/>
    <n v="13"/>
  </r>
  <r>
    <n v="3"/>
    <x v="2"/>
    <x v="2"/>
    <x v="5"/>
    <x v="10"/>
    <x v="2"/>
    <x v="10"/>
    <n v="7"/>
    <n v="76614"/>
    <n v="536298"/>
    <n v="294394"/>
    <n v="241904"/>
    <n v="0"/>
  </r>
  <r>
    <n v="3"/>
    <x v="2"/>
    <x v="2"/>
    <x v="4"/>
    <x v="10"/>
    <x v="2"/>
    <x v="11"/>
    <n v="4"/>
    <n v="62821"/>
    <n v="251284"/>
    <n v="104831"/>
    <n v="146453"/>
    <n v="13"/>
  </r>
  <r>
    <n v="3"/>
    <x v="2"/>
    <x v="2"/>
    <x v="5"/>
    <x v="10"/>
    <x v="3"/>
    <x v="12"/>
    <n v="12"/>
    <n v="9283"/>
    <n v="111396"/>
    <n v="57887"/>
    <n v="53509"/>
    <n v="3"/>
  </r>
  <r>
    <n v="3"/>
    <x v="2"/>
    <x v="2"/>
    <x v="4"/>
    <x v="10"/>
    <x v="3"/>
    <x v="13"/>
    <n v="4"/>
    <n v="11868"/>
    <n v="47472"/>
    <n v="19970"/>
    <n v="27502"/>
    <n v="11"/>
  </r>
  <r>
    <n v="3"/>
    <x v="2"/>
    <x v="2"/>
    <x v="5"/>
    <x v="10"/>
    <x v="3"/>
    <x v="14"/>
    <n v="10"/>
    <n v="15653"/>
    <n v="156530"/>
    <n v="64316"/>
    <n v="92214"/>
    <n v="6"/>
  </r>
  <r>
    <n v="3"/>
    <x v="2"/>
    <x v="2"/>
    <x v="4"/>
    <x v="10"/>
    <x v="3"/>
    <x v="15"/>
    <n v="3"/>
    <n v="6974"/>
    <n v="20922"/>
    <n v="14056"/>
    <n v="6866"/>
    <n v="7"/>
  </r>
  <r>
    <n v="3"/>
    <x v="2"/>
    <x v="2"/>
    <x v="5"/>
    <x v="10"/>
    <x v="4"/>
    <x v="16"/>
    <n v="10"/>
    <n v="52591"/>
    <n v="525910"/>
    <n v="268930"/>
    <n v="256980"/>
    <n v="14"/>
  </r>
  <r>
    <n v="3"/>
    <x v="2"/>
    <x v="2"/>
    <x v="5"/>
    <x v="10"/>
    <x v="4"/>
    <x v="17"/>
    <n v="10"/>
    <n v="27896"/>
    <n v="278960"/>
    <n v="176585"/>
    <n v="102375"/>
    <n v="11"/>
  </r>
  <r>
    <n v="3"/>
    <x v="2"/>
    <x v="2"/>
    <x v="4"/>
    <x v="10"/>
    <x v="4"/>
    <x v="18"/>
    <n v="9"/>
    <n v="116044"/>
    <n v="1044396"/>
    <n v="685047"/>
    <n v="359349"/>
    <n v="10"/>
  </r>
  <r>
    <n v="3"/>
    <x v="2"/>
    <x v="2"/>
    <x v="5"/>
    <x v="10"/>
    <x v="4"/>
    <x v="19"/>
    <n v="18"/>
    <n v="38681"/>
    <n v="696258"/>
    <n v="395890"/>
    <n v="300368"/>
    <n v="4"/>
  </r>
  <r>
    <n v="3"/>
    <x v="2"/>
    <x v="2"/>
    <x v="5"/>
    <x v="11"/>
    <x v="0"/>
    <x v="0"/>
    <n v="4"/>
    <n v="37073"/>
    <n v="148292"/>
    <n v="77605"/>
    <n v="70687"/>
    <n v="6"/>
  </r>
  <r>
    <n v="3"/>
    <x v="2"/>
    <x v="2"/>
    <x v="5"/>
    <x v="11"/>
    <x v="0"/>
    <x v="1"/>
    <n v="6"/>
    <n v="116894"/>
    <n v="701364"/>
    <n v="330367"/>
    <n v="370997"/>
    <n v="7"/>
  </r>
  <r>
    <n v="3"/>
    <x v="2"/>
    <x v="2"/>
    <x v="4"/>
    <x v="11"/>
    <x v="0"/>
    <x v="2"/>
    <n v="11"/>
    <n v="86707"/>
    <n v="953777"/>
    <n v="418132"/>
    <n v="535645"/>
    <n v="6"/>
  </r>
  <r>
    <n v="3"/>
    <x v="2"/>
    <x v="2"/>
    <x v="5"/>
    <x v="11"/>
    <x v="0"/>
    <x v="3"/>
    <n v="10"/>
    <n v="97465"/>
    <n v="974650"/>
    <n v="512313"/>
    <n v="462337"/>
    <n v="13"/>
  </r>
  <r>
    <n v="3"/>
    <x v="2"/>
    <x v="2"/>
    <x v="5"/>
    <x v="11"/>
    <x v="1"/>
    <x v="4"/>
    <n v="5"/>
    <n v="38745"/>
    <n v="193725"/>
    <n v="134419"/>
    <n v="59306"/>
    <n v="4"/>
  </r>
  <r>
    <n v="3"/>
    <x v="2"/>
    <x v="2"/>
    <x v="4"/>
    <x v="11"/>
    <x v="1"/>
    <x v="5"/>
    <n v="3"/>
    <n v="138358"/>
    <n v="415074"/>
    <n v="190697"/>
    <n v="224377"/>
    <n v="7"/>
  </r>
  <r>
    <n v="3"/>
    <x v="2"/>
    <x v="2"/>
    <x v="5"/>
    <x v="11"/>
    <x v="1"/>
    <x v="6"/>
    <n v="17"/>
    <n v="38322"/>
    <n v="651474"/>
    <n v="320922"/>
    <n v="330552"/>
    <n v="4"/>
  </r>
  <r>
    <n v="3"/>
    <x v="2"/>
    <x v="2"/>
    <x v="4"/>
    <x v="11"/>
    <x v="1"/>
    <x v="7"/>
    <n v="12"/>
    <n v="101912"/>
    <n v="1222944"/>
    <n v="556322"/>
    <n v="666622"/>
    <n v="0"/>
  </r>
  <r>
    <n v="3"/>
    <x v="2"/>
    <x v="2"/>
    <x v="4"/>
    <x v="11"/>
    <x v="2"/>
    <x v="8"/>
    <n v="18"/>
    <n v="49300"/>
    <n v="887400"/>
    <n v="414943"/>
    <n v="472457"/>
    <n v="9"/>
  </r>
  <r>
    <n v="3"/>
    <x v="2"/>
    <x v="2"/>
    <x v="4"/>
    <x v="11"/>
    <x v="2"/>
    <x v="9"/>
    <n v="7"/>
    <n v="53365"/>
    <n v="373555"/>
    <n v="212316"/>
    <n v="161239"/>
    <n v="0"/>
  </r>
  <r>
    <n v="3"/>
    <x v="2"/>
    <x v="2"/>
    <x v="4"/>
    <x v="11"/>
    <x v="2"/>
    <x v="10"/>
    <n v="2"/>
    <n v="91707"/>
    <n v="183414"/>
    <n v="113137"/>
    <n v="70277"/>
    <n v="8"/>
  </r>
  <r>
    <n v="3"/>
    <x v="2"/>
    <x v="2"/>
    <x v="4"/>
    <x v="11"/>
    <x v="2"/>
    <x v="11"/>
    <n v="7"/>
    <n v="64629"/>
    <n v="452403"/>
    <n v="255450"/>
    <n v="196953"/>
    <n v="1"/>
  </r>
  <r>
    <n v="3"/>
    <x v="2"/>
    <x v="2"/>
    <x v="5"/>
    <x v="11"/>
    <x v="3"/>
    <x v="12"/>
    <n v="6"/>
    <n v="6517"/>
    <n v="39102"/>
    <n v="21016"/>
    <n v="18086"/>
    <n v="0"/>
  </r>
  <r>
    <n v="3"/>
    <x v="2"/>
    <x v="2"/>
    <x v="4"/>
    <x v="11"/>
    <x v="3"/>
    <x v="13"/>
    <n v="10"/>
    <n v="18140"/>
    <n v="181400"/>
    <n v="80231"/>
    <n v="101169"/>
    <n v="5"/>
  </r>
  <r>
    <n v="3"/>
    <x v="2"/>
    <x v="2"/>
    <x v="5"/>
    <x v="11"/>
    <x v="3"/>
    <x v="14"/>
    <n v="16"/>
    <n v="18368"/>
    <n v="293888"/>
    <n v="176540"/>
    <n v="117348"/>
    <n v="1"/>
  </r>
  <r>
    <n v="3"/>
    <x v="2"/>
    <x v="2"/>
    <x v="4"/>
    <x v="11"/>
    <x v="3"/>
    <x v="15"/>
    <n v="16"/>
    <n v="19191"/>
    <n v="307056"/>
    <n v="165211"/>
    <n v="141845"/>
    <n v="6"/>
  </r>
  <r>
    <n v="3"/>
    <x v="2"/>
    <x v="2"/>
    <x v="4"/>
    <x v="11"/>
    <x v="4"/>
    <x v="16"/>
    <n v="12"/>
    <n v="94071"/>
    <n v="1128852"/>
    <n v="718052"/>
    <n v="410800"/>
    <n v="5"/>
  </r>
  <r>
    <n v="3"/>
    <x v="2"/>
    <x v="2"/>
    <x v="5"/>
    <x v="11"/>
    <x v="4"/>
    <x v="17"/>
    <n v="10"/>
    <n v="36994"/>
    <n v="369940"/>
    <n v="153742"/>
    <n v="216198"/>
    <n v="14"/>
  </r>
  <r>
    <n v="3"/>
    <x v="2"/>
    <x v="2"/>
    <x v="4"/>
    <x v="11"/>
    <x v="4"/>
    <x v="18"/>
    <n v="17"/>
    <n v="57823"/>
    <n v="982991"/>
    <n v="493395"/>
    <n v="489596"/>
    <n v="4"/>
  </r>
  <r>
    <n v="3"/>
    <x v="2"/>
    <x v="2"/>
    <x v="5"/>
    <x v="11"/>
    <x v="4"/>
    <x v="19"/>
    <n v="4"/>
    <n v="50573"/>
    <n v="202292"/>
    <n v="126681"/>
    <n v="75611"/>
    <n v="14"/>
  </r>
  <r>
    <n v="4"/>
    <x v="3"/>
    <x v="3"/>
    <x v="6"/>
    <x v="0"/>
    <x v="0"/>
    <x v="0"/>
    <n v="8"/>
    <n v="116468"/>
    <n v="931744"/>
    <n v="557079"/>
    <n v="374665"/>
    <n v="3"/>
  </r>
  <r>
    <n v="4"/>
    <x v="3"/>
    <x v="3"/>
    <x v="6"/>
    <x v="0"/>
    <x v="0"/>
    <x v="1"/>
    <n v="14"/>
    <n v="134586"/>
    <n v="1884204"/>
    <n v="1288779"/>
    <n v="595425"/>
    <n v="7"/>
  </r>
  <r>
    <n v="4"/>
    <x v="3"/>
    <x v="3"/>
    <x v="7"/>
    <x v="0"/>
    <x v="0"/>
    <x v="2"/>
    <n v="17"/>
    <n v="49118"/>
    <n v="835006"/>
    <n v="472408"/>
    <n v="362598"/>
    <n v="7"/>
  </r>
  <r>
    <n v="4"/>
    <x v="3"/>
    <x v="3"/>
    <x v="6"/>
    <x v="0"/>
    <x v="0"/>
    <x v="3"/>
    <n v="3"/>
    <n v="62951"/>
    <n v="188853"/>
    <n v="91542"/>
    <n v="97311"/>
    <n v="9"/>
  </r>
  <r>
    <n v="4"/>
    <x v="3"/>
    <x v="3"/>
    <x v="7"/>
    <x v="0"/>
    <x v="1"/>
    <x v="4"/>
    <n v="3"/>
    <n v="41253"/>
    <n v="123759"/>
    <n v="63312"/>
    <n v="60447"/>
    <n v="6"/>
  </r>
  <r>
    <n v="4"/>
    <x v="3"/>
    <x v="3"/>
    <x v="6"/>
    <x v="0"/>
    <x v="1"/>
    <x v="5"/>
    <n v="18"/>
    <n v="123850"/>
    <n v="2229300"/>
    <n v="1410441"/>
    <n v="818859"/>
    <n v="2"/>
  </r>
  <r>
    <n v="4"/>
    <x v="3"/>
    <x v="3"/>
    <x v="6"/>
    <x v="0"/>
    <x v="1"/>
    <x v="6"/>
    <n v="11"/>
    <n v="22551"/>
    <n v="248061"/>
    <n v="113120"/>
    <n v="134941"/>
    <n v="7"/>
  </r>
  <r>
    <n v="4"/>
    <x v="3"/>
    <x v="3"/>
    <x v="7"/>
    <x v="0"/>
    <x v="1"/>
    <x v="7"/>
    <n v="9"/>
    <n v="95939"/>
    <n v="863451"/>
    <n v="416988"/>
    <n v="446463"/>
    <n v="7"/>
  </r>
  <r>
    <n v="4"/>
    <x v="3"/>
    <x v="3"/>
    <x v="7"/>
    <x v="0"/>
    <x v="2"/>
    <x v="8"/>
    <n v="9"/>
    <n v="41038"/>
    <n v="369342"/>
    <n v="169436"/>
    <n v="199906"/>
    <n v="13"/>
  </r>
  <r>
    <n v="4"/>
    <x v="3"/>
    <x v="3"/>
    <x v="6"/>
    <x v="0"/>
    <x v="2"/>
    <x v="9"/>
    <n v="8"/>
    <n v="99057"/>
    <n v="792456"/>
    <n v="354534"/>
    <n v="437922"/>
    <n v="3"/>
  </r>
  <r>
    <n v="4"/>
    <x v="3"/>
    <x v="3"/>
    <x v="6"/>
    <x v="0"/>
    <x v="2"/>
    <x v="10"/>
    <n v="6"/>
    <n v="97067"/>
    <n v="582402"/>
    <n v="261970"/>
    <n v="320432"/>
    <n v="2"/>
  </r>
  <r>
    <n v="4"/>
    <x v="3"/>
    <x v="3"/>
    <x v="7"/>
    <x v="0"/>
    <x v="2"/>
    <x v="11"/>
    <n v="13"/>
    <n v="85794"/>
    <n v="1115322"/>
    <n v="746324"/>
    <n v="368998"/>
    <n v="10"/>
  </r>
  <r>
    <n v="4"/>
    <x v="3"/>
    <x v="3"/>
    <x v="7"/>
    <x v="0"/>
    <x v="3"/>
    <x v="12"/>
    <n v="8"/>
    <n v="11629"/>
    <n v="93032"/>
    <n v="41140"/>
    <n v="51892"/>
    <n v="0"/>
  </r>
  <r>
    <n v="4"/>
    <x v="3"/>
    <x v="3"/>
    <x v="6"/>
    <x v="0"/>
    <x v="3"/>
    <x v="13"/>
    <n v="8"/>
    <n v="5612"/>
    <n v="44896"/>
    <n v="27826"/>
    <n v="17070"/>
    <n v="10"/>
  </r>
  <r>
    <n v="4"/>
    <x v="3"/>
    <x v="3"/>
    <x v="6"/>
    <x v="0"/>
    <x v="3"/>
    <x v="14"/>
    <n v="5"/>
    <n v="7307"/>
    <n v="36535"/>
    <n v="23366"/>
    <n v="13169"/>
    <n v="13"/>
  </r>
  <r>
    <n v="4"/>
    <x v="3"/>
    <x v="3"/>
    <x v="7"/>
    <x v="0"/>
    <x v="3"/>
    <x v="15"/>
    <n v="19"/>
    <n v="7591"/>
    <n v="144229"/>
    <n v="62781"/>
    <n v="81448"/>
    <n v="10"/>
  </r>
  <r>
    <n v="4"/>
    <x v="3"/>
    <x v="3"/>
    <x v="6"/>
    <x v="0"/>
    <x v="4"/>
    <x v="16"/>
    <n v="14"/>
    <n v="130454"/>
    <n v="1826356"/>
    <n v="1260437"/>
    <n v="565919"/>
    <n v="14"/>
  </r>
  <r>
    <n v="4"/>
    <x v="3"/>
    <x v="3"/>
    <x v="7"/>
    <x v="0"/>
    <x v="4"/>
    <x v="17"/>
    <n v="13"/>
    <n v="62870"/>
    <n v="817310"/>
    <n v="356943"/>
    <n v="460367"/>
    <n v="13"/>
  </r>
  <r>
    <n v="4"/>
    <x v="3"/>
    <x v="3"/>
    <x v="6"/>
    <x v="0"/>
    <x v="4"/>
    <x v="18"/>
    <n v="13"/>
    <n v="76481"/>
    <n v="994253"/>
    <n v="447201"/>
    <n v="547052"/>
    <n v="5"/>
  </r>
  <r>
    <n v="4"/>
    <x v="3"/>
    <x v="3"/>
    <x v="7"/>
    <x v="0"/>
    <x v="4"/>
    <x v="19"/>
    <n v="5"/>
    <n v="29752"/>
    <n v="148760"/>
    <n v="63655"/>
    <n v="85105"/>
    <n v="3"/>
  </r>
  <r>
    <n v="4"/>
    <x v="3"/>
    <x v="3"/>
    <x v="6"/>
    <x v="1"/>
    <x v="0"/>
    <x v="0"/>
    <n v="2"/>
    <n v="44217"/>
    <n v="88434"/>
    <n v="37480"/>
    <n v="50954"/>
    <n v="4"/>
  </r>
  <r>
    <n v="4"/>
    <x v="3"/>
    <x v="3"/>
    <x v="6"/>
    <x v="1"/>
    <x v="0"/>
    <x v="1"/>
    <n v="3"/>
    <n v="35036"/>
    <n v="105108"/>
    <n v="52664"/>
    <n v="52444"/>
    <n v="8"/>
  </r>
  <r>
    <n v="4"/>
    <x v="3"/>
    <x v="3"/>
    <x v="6"/>
    <x v="1"/>
    <x v="0"/>
    <x v="2"/>
    <n v="6"/>
    <n v="115665"/>
    <n v="693990"/>
    <n v="300653"/>
    <n v="393337"/>
    <n v="11"/>
  </r>
  <r>
    <n v="4"/>
    <x v="3"/>
    <x v="3"/>
    <x v="6"/>
    <x v="1"/>
    <x v="0"/>
    <x v="3"/>
    <n v="12"/>
    <n v="142232"/>
    <n v="1706784"/>
    <n v="923968"/>
    <n v="782816"/>
    <n v="14"/>
  </r>
  <r>
    <n v="4"/>
    <x v="3"/>
    <x v="3"/>
    <x v="7"/>
    <x v="1"/>
    <x v="1"/>
    <x v="4"/>
    <n v="12"/>
    <n v="46475"/>
    <n v="557700"/>
    <n v="275625"/>
    <n v="282075"/>
    <n v="7"/>
  </r>
  <r>
    <n v="4"/>
    <x v="3"/>
    <x v="3"/>
    <x v="6"/>
    <x v="1"/>
    <x v="1"/>
    <x v="5"/>
    <n v="2"/>
    <n v="66037"/>
    <n v="132074"/>
    <n v="85646"/>
    <n v="46428"/>
    <n v="11"/>
  </r>
  <r>
    <n v="4"/>
    <x v="3"/>
    <x v="3"/>
    <x v="7"/>
    <x v="1"/>
    <x v="1"/>
    <x v="6"/>
    <n v="16"/>
    <n v="56116"/>
    <n v="897856"/>
    <n v="389564"/>
    <n v="508292"/>
    <n v="9"/>
  </r>
  <r>
    <n v="4"/>
    <x v="3"/>
    <x v="3"/>
    <x v="7"/>
    <x v="1"/>
    <x v="1"/>
    <x v="7"/>
    <n v="1"/>
    <n v="45556"/>
    <n v="45556"/>
    <n v="23964"/>
    <n v="21592"/>
    <n v="1"/>
  </r>
  <r>
    <n v="4"/>
    <x v="3"/>
    <x v="3"/>
    <x v="7"/>
    <x v="1"/>
    <x v="2"/>
    <x v="8"/>
    <n v="9"/>
    <n v="91986"/>
    <n v="827874"/>
    <n v="442999"/>
    <n v="384875"/>
    <n v="9"/>
  </r>
  <r>
    <n v="4"/>
    <x v="3"/>
    <x v="3"/>
    <x v="6"/>
    <x v="1"/>
    <x v="2"/>
    <x v="9"/>
    <n v="11"/>
    <n v="125400"/>
    <n v="1379400"/>
    <n v="731980"/>
    <n v="647420"/>
    <n v="5"/>
  </r>
  <r>
    <n v="4"/>
    <x v="3"/>
    <x v="3"/>
    <x v="6"/>
    <x v="1"/>
    <x v="2"/>
    <x v="10"/>
    <n v="17"/>
    <n v="92516"/>
    <n v="1572772"/>
    <n v="1009497"/>
    <n v="563275"/>
    <n v="13"/>
  </r>
  <r>
    <n v="4"/>
    <x v="3"/>
    <x v="3"/>
    <x v="7"/>
    <x v="1"/>
    <x v="2"/>
    <x v="11"/>
    <n v="15"/>
    <n v="52602"/>
    <n v="789030"/>
    <n v="465719"/>
    <n v="323311"/>
    <n v="3"/>
  </r>
  <r>
    <n v="4"/>
    <x v="3"/>
    <x v="3"/>
    <x v="7"/>
    <x v="1"/>
    <x v="3"/>
    <x v="12"/>
    <n v="16"/>
    <n v="11049"/>
    <n v="176784"/>
    <n v="87955"/>
    <n v="88829"/>
    <n v="7"/>
  </r>
  <r>
    <n v="4"/>
    <x v="3"/>
    <x v="3"/>
    <x v="7"/>
    <x v="1"/>
    <x v="3"/>
    <x v="13"/>
    <n v="15"/>
    <n v="6958"/>
    <n v="104370"/>
    <n v="46981"/>
    <n v="57389"/>
    <n v="3"/>
  </r>
  <r>
    <n v="4"/>
    <x v="3"/>
    <x v="3"/>
    <x v="6"/>
    <x v="1"/>
    <x v="3"/>
    <x v="14"/>
    <n v="1"/>
    <n v="10063"/>
    <n v="10063"/>
    <n v="4244"/>
    <n v="5819"/>
    <n v="14"/>
  </r>
  <r>
    <n v="4"/>
    <x v="3"/>
    <x v="3"/>
    <x v="6"/>
    <x v="1"/>
    <x v="3"/>
    <x v="15"/>
    <n v="3"/>
    <n v="11659"/>
    <n v="34977"/>
    <n v="23081"/>
    <n v="11896"/>
    <n v="14"/>
  </r>
  <r>
    <n v="4"/>
    <x v="3"/>
    <x v="3"/>
    <x v="6"/>
    <x v="1"/>
    <x v="4"/>
    <x v="16"/>
    <n v="6"/>
    <n v="132782"/>
    <n v="796692"/>
    <n v="369500"/>
    <n v="427192"/>
    <n v="2"/>
  </r>
  <r>
    <n v="4"/>
    <x v="3"/>
    <x v="3"/>
    <x v="6"/>
    <x v="1"/>
    <x v="4"/>
    <x v="17"/>
    <n v="14"/>
    <n v="28179"/>
    <n v="394506"/>
    <n v="268852"/>
    <n v="125654"/>
    <n v="11"/>
  </r>
  <r>
    <n v="4"/>
    <x v="3"/>
    <x v="3"/>
    <x v="6"/>
    <x v="1"/>
    <x v="4"/>
    <x v="18"/>
    <n v="17"/>
    <n v="73798"/>
    <n v="1254566"/>
    <n v="805705"/>
    <n v="448861"/>
    <n v="11"/>
  </r>
  <r>
    <n v="4"/>
    <x v="3"/>
    <x v="3"/>
    <x v="7"/>
    <x v="1"/>
    <x v="4"/>
    <x v="19"/>
    <n v="13"/>
    <n v="76526"/>
    <n v="994838"/>
    <n v="475618"/>
    <n v="519220"/>
    <n v="0"/>
  </r>
  <r>
    <n v="4"/>
    <x v="3"/>
    <x v="3"/>
    <x v="6"/>
    <x v="2"/>
    <x v="0"/>
    <x v="0"/>
    <n v="6"/>
    <n v="92954"/>
    <n v="557724"/>
    <n v="223121"/>
    <n v="334603"/>
    <n v="10"/>
  </r>
  <r>
    <n v="4"/>
    <x v="3"/>
    <x v="3"/>
    <x v="6"/>
    <x v="2"/>
    <x v="0"/>
    <x v="1"/>
    <n v="2"/>
    <n v="35223"/>
    <n v="70446"/>
    <n v="36198"/>
    <n v="34248"/>
    <n v="13"/>
  </r>
  <r>
    <n v="4"/>
    <x v="3"/>
    <x v="3"/>
    <x v="6"/>
    <x v="2"/>
    <x v="0"/>
    <x v="2"/>
    <n v="4"/>
    <n v="106516"/>
    <n v="426064"/>
    <n v="240297"/>
    <n v="185767"/>
    <n v="2"/>
  </r>
  <r>
    <n v="4"/>
    <x v="3"/>
    <x v="3"/>
    <x v="6"/>
    <x v="2"/>
    <x v="0"/>
    <x v="3"/>
    <n v="19"/>
    <n v="123965"/>
    <n v="2355335"/>
    <n v="1509077"/>
    <n v="846258"/>
    <n v="10"/>
  </r>
  <r>
    <n v="4"/>
    <x v="3"/>
    <x v="3"/>
    <x v="7"/>
    <x v="2"/>
    <x v="1"/>
    <x v="4"/>
    <n v="17"/>
    <n v="28472"/>
    <n v="484024"/>
    <n v="254806"/>
    <n v="229218"/>
    <n v="13"/>
  </r>
  <r>
    <n v="4"/>
    <x v="3"/>
    <x v="3"/>
    <x v="6"/>
    <x v="2"/>
    <x v="1"/>
    <x v="5"/>
    <n v="6"/>
    <n v="54518"/>
    <n v="327108"/>
    <n v="143350"/>
    <n v="183758"/>
    <n v="8"/>
  </r>
  <r>
    <n v="4"/>
    <x v="3"/>
    <x v="3"/>
    <x v="6"/>
    <x v="2"/>
    <x v="1"/>
    <x v="6"/>
    <n v="19"/>
    <n v="142477"/>
    <n v="2707063"/>
    <n v="1822478"/>
    <n v="884585"/>
    <n v="9"/>
  </r>
  <r>
    <n v="4"/>
    <x v="3"/>
    <x v="3"/>
    <x v="7"/>
    <x v="2"/>
    <x v="1"/>
    <x v="7"/>
    <n v="19"/>
    <n v="44264"/>
    <n v="841016"/>
    <n v="548206"/>
    <n v="292810"/>
    <n v="12"/>
  </r>
  <r>
    <n v="4"/>
    <x v="3"/>
    <x v="3"/>
    <x v="6"/>
    <x v="2"/>
    <x v="2"/>
    <x v="8"/>
    <n v="7"/>
    <n v="48365"/>
    <n v="338555"/>
    <n v="209227"/>
    <n v="129328"/>
    <n v="10"/>
  </r>
  <r>
    <n v="4"/>
    <x v="3"/>
    <x v="3"/>
    <x v="7"/>
    <x v="2"/>
    <x v="2"/>
    <x v="9"/>
    <n v="19"/>
    <n v="72142"/>
    <n v="1370698"/>
    <n v="733258"/>
    <n v="637440"/>
    <n v="7"/>
  </r>
  <r>
    <n v="4"/>
    <x v="3"/>
    <x v="3"/>
    <x v="7"/>
    <x v="2"/>
    <x v="2"/>
    <x v="10"/>
    <n v="6"/>
    <n v="54228"/>
    <n v="325368"/>
    <n v="182924"/>
    <n v="142444"/>
    <n v="7"/>
  </r>
  <r>
    <n v="4"/>
    <x v="3"/>
    <x v="3"/>
    <x v="6"/>
    <x v="2"/>
    <x v="2"/>
    <x v="11"/>
    <n v="17"/>
    <n v="69437"/>
    <n v="1180429"/>
    <n v="488505"/>
    <n v="691924"/>
    <n v="0"/>
  </r>
  <r>
    <n v="4"/>
    <x v="3"/>
    <x v="3"/>
    <x v="7"/>
    <x v="2"/>
    <x v="3"/>
    <x v="12"/>
    <n v="14"/>
    <n v="18514"/>
    <n v="259196"/>
    <n v="109451"/>
    <n v="149745"/>
    <n v="8"/>
  </r>
  <r>
    <n v="4"/>
    <x v="3"/>
    <x v="3"/>
    <x v="6"/>
    <x v="2"/>
    <x v="3"/>
    <x v="13"/>
    <n v="14"/>
    <n v="15461"/>
    <n v="216454"/>
    <n v="125465"/>
    <n v="90989"/>
    <n v="10"/>
  </r>
  <r>
    <n v="4"/>
    <x v="3"/>
    <x v="3"/>
    <x v="7"/>
    <x v="2"/>
    <x v="3"/>
    <x v="14"/>
    <n v="4"/>
    <n v="5987"/>
    <n v="23948"/>
    <n v="15702"/>
    <n v="8246"/>
    <n v="8"/>
  </r>
  <r>
    <n v="4"/>
    <x v="3"/>
    <x v="3"/>
    <x v="7"/>
    <x v="2"/>
    <x v="3"/>
    <x v="15"/>
    <n v="14"/>
    <n v="10717"/>
    <n v="150038"/>
    <n v="100178"/>
    <n v="49860"/>
    <n v="14"/>
  </r>
  <r>
    <n v="4"/>
    <x v="3"/>
    <x v="3"/>
    <x v="6"/>
    <x v="2"/>
    <x v="4"/>
    <x v="16"/>
    <n v="16"/>
    <n v="55292"/>
    <n v="884672"/>
    <n v="576315"/>
    <n v="308357"/>
    <n v="13"/>
  </r>
  <r>
    <n v="4"/>
    <x v="3"/>
    <x v="3"/>
    <x v="7"/>
    <x v="2"/>
    <x v="4"/>
    <x v="17"/>
    <n v="12"/>
    <n v="74306"/>
    <n v="891672"/>
    <n v="428299"/>
    <n v="463373"/>
    <n v="13"/>
  </r>
  <r>
    <n v="4"/>
    <x v="3"/>
    <x v="3"/>
    <x v="7"/>
    <x v="2"/>
    <x v="4"/>
    <x v="18"/>
    <n v="18"/>
    <n v="87028"/>
    <n v="1566504"/>
    <n v="871655"/>
    <n v="694849"/>
    <n v="4"/>
  </r>
  <r>
    <n v="4"/>
    <x v="3"/>
    <x v="3"/>
    <x v="7"/>
    <x v="2"/>
    <x v="4"/>
    <x v="19"/>
    <n v="16"/>
    <n v="78643"/>
    <n v="1258288"/>
    <n v="586447"/>
    <n v="671841"/>
    <n v="11"/>
  </r>
  <r>
    <n v="4"/>
    <x v="3"/>
    <x v="3"/>
    <x v="7"/>
    <x v="3"/>
    <x v="0"/>
    <x v="0"/>
    <n v="1"/>
    <n v="92692"/>
    <n v="92692"/>
    <n v="39686"/>
    <n v="53006"/>
    <n v="12"/>
  </r>
  <r>
    <n v="4"/>
    <x v="3"/>
    <x v="3"/>
    <x v="7"/>
    <x v="3"/>
    <x v="0"/>
    <x v="1"/>
    <n v="9"/>
    <n v="66403"/>
    <n v="597627"/>
    <n v="394771"/>
    <n v="202856"/>
    <n v="1"/>
  </r>
  <r>
    <n v="4"/>
    <x v="3"/>
    <x v="3"/>
    <x v="6"/>
    <x v="3"/>
    <x v="0"/>
    <x v="2"/>
    <n v="1"/>
    <n v="131623"/>
    <n v="131623"/>
    <n v="73081"/>
    <n v="58542"/>
    <n v="14"/>
  </r>
  <r>
    <n v="4"/>
    <x v="3"/>
    <x v="3"/>
    <x v="6"/>
    <x v="3"/>
    <x v="0"/>
    <x v="3"/>
    <n v="8"/>
    <n v="112491"/>
    <n v="899928"/>
    <n v="605834"/>
    <n v="294094"/>
    <n v="13"/>
  </r>
  <r>
    <n v="4"/>
    <x v="3"/>
    <x v="3"/>
    <x v="7"/>
    <x v="3"/>
    <x v="1"/>
    <x v="4"/>
    <n v="15"/>
    <n v="69678"/>
    <n v="1045170"/>
    <n v="606801"/>
    <n v="438369"/>
    <n v="9"/>
  </r>
  <r>
    <n v="4"/>
    <x v="3"/>
    <x v="3"/>
    <x v="7"/>
    <x v="3"/>
    <x v="1"/>
    <x v="5"/>
    <n v="8"/>
    <n v="100404"/>
    <n v="803232"/>
    <n v="473418"/>
    <n v="329814"/>
    <n v="3"/>
  </r>
  <r>
    <n v="4"/>
    <x v="3"/>
    <x v="3"/>
    <x v="7"/>
    <x v="3"/>
    <x v="1"/>
    <x v="6"/>
    <n v="19"/>
    <n v="48803"/>
    <n v="927257"/>
    <n v="559069"/>
    <n v="368188"/>
    <n v="11"/>
  </r>
  <r>
    <n v="4"/>
    <x v="3"/>
    <x v="3"/>
    <x v="7"/>
    <x v="3"/>
    <x v="1"/>
    <x v="7"/>
    <n v="4"/>
    <n v="107445"/>
    <n v="429780"/>
    <n v="273350"/>
    <n v="156430"/>
    <n v="2"/>
  </r>
  <r>
    <n v="4"/>
    <x v="3"/>
    <x v="3"/>
    <x v="7"/>
    <x v="3"/>
    <x v="2"/>
    <x v="8"/>
    <n v="12"/>
    <n v="20193"/>
    <n v="242316"/>
    <n v="116668"/>
    <n v="125648"/>
    <n v="10"/>
  </r>
  <r>
    <n v="4"/>
    <x v="3"/>
    <x v="3"/>
    <x v="6"/>
    <x v="3"/>
    <x v="2"/>
    <x v="9"/>
    <n v="9"/>
    <n v="62752"/>
    <n v="564768"/>
    <n v="271477"/>
    <n v="293291"/>
    <n v="5"/>
  </r>
  <r>
    <n v="4"/>
    <x v="3"/>
    <x v="3"/>
    <x v="6"/>
    <x v="3"/>
    <x v="2"/>
    <x v="10"/>
    <n v="6"/>
    <n v="22261"/>
    <n v="133566"/>
    <n v="63619"/>
    <n v="69947"/>
    <n v="0"/>
  </r>
  <r>
    <n v="4"/>
    <x v="3"/>
    <x v="3"/>
    <x v="7"/>
    <x v="3"/>
    <x v="2"/>
    <x v="11"/>
    <n v="12"/>
    <n v="48933"/>
    <n v="587196"/>
    <n v="242919"/>
    <n v="344277"/>
    <n v="7"/>
  </r>
  <r>
    <n v="4"/>
    <x v="3"/>
    <x v="3"/>
    <x v="6"/>
    <x v="3"/>
    <x v="3"/>
    <x v="12"/>
    <n v="19"/>
    <n v="8451"/>
    <n v="160569"/>
    <n v="86850"/>
    <n v="73719"/>
    <n v="8"/>
  </r>
  <r>
    <n v="4"/>
    <x v="3"/>
    <x v="3"/>
    <x v="7"/>
    <x v="3"/>
    <x v="3"/>
    <x v="13"/>
    <n v="13"/>
    <n v="7800"/>
    <n v="101400"/>
    <n v="59497"/>
    <n v="41903"/>
    <n v="13"/>
  </r>
  <r>
    <n v="4"/>
    <x v="3"/>
    <x v="3"/>
    <x v="7"/>
    <x v="3"/>
    <x v="3"/>
    <x v="14"/>
    <n v="3"/>
    <n v="6455"/>
    <n v="19365"/>
    <n v="9376"/>
    <n v="9989"/>
    <n v="7"/>
  </r>
  <r>
    <n v="4"/>
    <x v="3"/>
    <x v="3"/>
    <x v="7"/>
    <x v="3"/>
    <x v="3"/>
    <x v="15"/>
    <n v="17"/>
    <n v="11796"/>
    <n v="200532"/>
    <n v="112518"/>
    <n v="88014"/>
    <n v="0"/>
  </r>
  <r>
    <n v="4"/>
    <x v="3"/>
    <x v="3"/>
    <x v="7"/>
    <x v="3"/>
    <x v="4"/>
    <x v="16"/>
    <n v="14"/>
    <n v="139664"/>
    <n v="1955296"/>
    <n v="910621"/>
    <n v="1044675"/>
    <n v="10"/>
  </r>
  <r>
    <n v="4"/>
    <x v="3"/>
    <x v="3"/>
    <x v="7"/>
    <x v="3"/>
    <x v="4"/>
    <x v="17"/>
    <n v="1"/>
    <n v="123001"/>
    <n v="123001"/>
    <n v="66279"/>
    <n v="56722"/>
    <n v="4"/>
  </r>
  <r>
    <n v="4"/>
    <x v="3"/>
    <x v="3"/>
    <x v="7"/>
    <x v="3"/>
    <x v="4"/>
    <x v="18"/>
    <n v="17"/>
    <n v="37087"/>
    <n v="630479"/>
    <n v="349159"/>
    <n v="281320"/>
    <n v="10"/>
  </r>
  <r>
    <n v="4"/>
    <x v="3"/>
    <x v="3"/>
    <x v="6"/>
    <x v="3"/>
    <x v="4"/>
    <x v="19"/>
    <n v="9"/>
    <n v="70952"/>
    <n v="638568"/>
    <n v="411879"/>
    <n v="226689"/>
    <n v="0"/>
  </r>
  <r>
    <n v="4"/>
    <x v="3"/>
    <x v="3"/>
    <x v="7"/>
    <x v="4"/>
    <x v="0"/>
    <x v="0"/>
    <n v="9"/>
    <n v="53623"/>
    <n v="482607"/>
    <n v="270008"/>
    <n v="212599"/>
    <n v="10"/>
  </r>
  <r>
    <n v="4"/>
    <x v="3"/>
    <x v="3"/>
    <x v="6"/>
    <x v="4"/>
    <x v="0"/>
    <x v="1"/>
    <n v="7"/>
    <n v="69334"/>
    <n v="485338"/>
    <n v="321423"/>
    <n v="163915"/>
    <n v="12"/>
  </r>
  <r>
    <n v="4"/>
    <x v="3"/>
    <x v="3"/>
    <x v="6"/>
    <x v="4"/>
    <x v="0"/>
    <x v="2"/>
    <n v="11"/>
    <n v="119821"/>
    <n v="1318031"/>
    <n v="919781"/>
    <n v="398250"/>
    <n v="12"/>
  </r>
  <r>
    <n v="4"/>
    <x v="3"/>
    <x v="3"/>
    <x v="7"/>
    <x v="4"/>
    <x v="0"/>
    <x v="3"/>
    <n v="14"/>
    <n v="72780"/>
    <n v="1018920"/>
    <n v="528180"/>
    <n v="490740"/>
    <n v="11"/>
  </r>
  <r>
    <n v="4"/>
    <x v="3"/>
    <x v="3"/>
    <x v="7"/>
    <x v="4"/>
    <x v="1"/>
    <x v="4"/>
    <n v="19"/>
    <n v="64363"/>
    <n v="1222897"/>
    <n v="812832"/>
    <n v="410065"/>
    <n v="12"/>
  </r>
  <r>
    <n v="4"/>
    <x v="3"/>
    <x v="3"/>
    <x v="7"/>
    <x v="4"/>
    <x v="1"/>
    <x v="5"/>
    <n v="13"/>
    <n v="129835"/>
    <n v="1687855"/>
    <n v="1016734"/>
    <n v="671121"/>
    <n v="0"/>
  </r>
  <r>
    <n v="4"/>
    <x v="3"/>
    <x v="3"/>
    <x v="7"/>
    <x v="4"/>
    <x v="1"/>
    <x v="6"/>
    <n v="13"/>
    <n v="84089"/>
    <n v="1093157"/>
    <n v="750472"/>
    <n v="342685"/>
    <n v="9"/>
  </r>
  <r>
    <n v="4"/>
    <x v="3"/>
    <x v="3"/>
    <x v="6"/>
    <x v="4"/>
    <x v="1"/>
    <x v="7"/>
    <n v="5"/>
    <n v="57383"/>
    <n v="286915"/>
    <n v="189038"/>
    <n v="97877"/>
    <n v="13"/>
  </r>
  <r>
    <n v="4"/>
    <x v="3"/>
    <x v="3"/>
    <x v="7"/>
    <x v="4"/>
    <x v="2"/>
    <x v="8"/>
    <n v="13"/>
    <n v="141262"/>
    <n v="1836406"/>
    <n v="767355"/>
    <n v="1069051"/>
    <n v="14"/>
  </r>
  <r>
    <n v="4"/>
    <x v="3"/>
    <x v="3"/>
    <x v="7"/>
    <x v="4"/>
    <x v="2"/>
    <x v="9"/>
    <n v="18"/>
    <n v="66737"/>
    <n v="1201266"/>
    <n v="521765"/>
    <n v="679501"/>
    <n v="13"/>
  </r>
  <r>
    <n v="4"/>
    <x v="3"/>
    <x v="3"/>
    <x v="6"/>
    <x v="4"/>
    <x v="2"/>
    <x v="10"/>
    <n v="1"/>
    <n v="145566"/>
    <n v="145566"/>
    <n v="87164"/>
    <n v="58402"/>
    <n v="4"/>
  </r>
  <r>
    <n v="4"/>
    <x v="3"/>
    <x v="3"/>
    <x v="7"/>
    <x v="4"/>
    <x v="2"/>
    <x v="11"/>
    <n v="19"/>
    <n v="54542"/>
    <n v="1036298"/>
    <n v="544765"/>
    <n v="491533"/>
    <n v="3"/>
  </r>
  <r>
    <n v="4"/>
    <x v="3"/>
    <x v="3"/>
    <x v="7"/>
    <x v="4"/>
    <x v="3"/>
    <x v="12"/>
    <n v="17"/>
    <n v="8808"/>
    <n v="149736"/>
    <n v="78053"/>
    <n v="71683"/>
    <n v="2"/>
  </r>
  <r>
    <n v="4"/>
    <x v="3"/>
    <x v="3"/>
    <x v="7"/>
    <x v="4"/>
    <x v="3"/>
    <x v="13"/>
    <n v="15"/>
    <n v="19376"/>
    <n v="290640"/>
    <n v="198366"/>
    <n v="92274"/>
    <n v="14"/>
  </r>
  <r>
    <n v="4"/>
    <x v="3"/>
    <x v="3"/>
    <x v="6"/>
    <x v="4"/>
    <x v="3"/>
    <x v="14"/>
    <n v="9"/>
    <n v="5201"/>
    <n v="46809"/>
    <n v="23805"/>
    <n v="23004"/>
    <n v="10"/>
  </r>
  <r>
    <n v="4"/>
    <x v="3"/>
    <x v="3"/>
    <x v="6"/>
    <x v="4"/>
    <x v="3"/>
    <x v="15"/>
    <n v="13"/>
    <n v="18577"/>
    <n v="241501"/>
    <n v="132981"/>
    <n v="108520"/>
    <n v="2"/>
  </r>
  <r>
    <n v="4"/>
    <x v="3"/>
    <x v="3"/>
    <x v="6"/>
    <x v="4"/>
    <x v="4"/>
    <x v="16"/>
    <n v="9"/>
    <n v="125848"/>
    <n v="1132632"/>
    <n v="505489"/>
    <n v="627143"/>
    <n v="2"/>
  </r>
  <r>
    <n v="4"/>
    <x v="3"/>
    <x v="3"/>
    <x v="7"/>
    <x v="4"/>
    <x v="4"/>
    <x v="17"/>
    <n v="6"/>
    <n v="80058"/>
    <n v="480348"/>
    <n v="298917"/>
    <n v="181431"/>
    <n v="12"/>
  </r>
  <r>
    <n v="4"/>
    <x v="3"/>
    <x v="3"/>
    <x v="7"/>
    <x v="4"/>
    <x v="4"/>
    <x v="18"/>
    <n v="6"/>
    <n v="53154"/>
    <n v="318924"/>
    <n v="178658"/>
    <n v="140266"/>
    <n v="7"/>
  </r>
  <r>
    <n v="4"/>
    <x v="3"/>
    <x v="3"/>
    <x v="7"/>
    <x v="4"/>
    <x v="4"/>
    <x v="19"/>
    <n v="2"/>
    <n v="98928"/>
    <n v="197856"/>
    <n v="120388"/>
    <n v="77468"/>
    <n v="11"/>
  </r>
  <r>
    <n v="4"/>
    <x v="3"/>
    <x v="3"/>
    <x v="6"/>
    <x v="5"/>
    <x v="0"/>
    <x v="0"/>
    <n v="3"/>
    <n v="22282"/>
    <n v="66846"/>
    <n v="36484"/>
    <n v="30362"/>
    <n v="12"/>
  </r>
  <r>
    <n v="4"/>
    <x v="3"/>
    <x v="3"/>
    <x v="7"/>
    <x v="5"/>
    <x v="0"/>
    <x v="1"/>
    <n v="15"/>
    <n v="51705"/>
    <n v="775575"/>
    <n v="521993"/>
    <n v="253582"/>
    <n v="13"/>
  </r>
  <r>
    <n v="4"/>
    <x v="3"/>
    <x v="3"/>
    <x v="7"/>
    <x v="5"/>
    <x v="0"/>
    <x v="2"/>
    <n v="17"/>
    <n v="94878"/>
    <n v="1612926"/>
    <n v="811221"/>
    <n v="801705"/>
    <n v="6"/>
  </r>
  <r>
    <n v="4"/>
    <x v="3"/>
    <x v="3"/>
    <x v="7"/>
    <x v="5"/>
    <x v="0"/>
    <x v="3"/>
    <n v="6"/>
    <n v="120123"/>
    <n v="720738"/>
    <n v="372057"/>
    <n v="348681"/>
    <n v="10"/>
  </r>
  <r>
    <n v="4"/>
    <x v="3"/>
    <x v="3"/>
    <x v="6"/>
    <x v="5"/>
    <x v="1"/>
    <x v="4"/>
    <n v="18"/>
    <n v="141251"/>
    <n v="2542518"/>
    <n v="1530316"/>
    <n v="1012202"/>
    <n v="6"/>
  </r>
  <r>
    <n v="4"/>
    <x v="3"/>
    <x v="3"/>
    <x v="6"/>
    <x v="5"/>
    <x v="1"/>
    <x v="5"/>
    <n v="9"/>
    <n v="56788"/>
    <n v="511092"/>
    <n v="336565"/>
    <n v="174527"/>
    <n v="13"/>
  </r>
  <r>
    <n v="4"/>
    <x v="3"/>
    <x v="3"/>
    <x v="6"/>
    <x v="5"/>
    <x v="1"/>
    <x v="6"/>
    <n v="12"/>
    <n v="62849"/>
    <n v="754188"/>
    <n v="388611"/>
    <n v="365577"/>
    <n v="2"/>
  </r>
  <r>
    <n v="4"/>
    <x v="3"/>
    <x v="3"/>
    <x v="6"/>
    <x v="5"/>
    <x v="1"/>
    <x v="7"/>
    <n v="12"/>
    <n v="59758"/>
    <n v="717096"/>
    <n v="450196"/>
    <n v="266900"/>
    <n v="6"/>
  </r>
  <r>
    <n v="4"/>
    <x v="3"/>
    <x v="3"/>
    <x v="7"/>
    <x v="5"/>
    <x v="2"/>
    <x v="8"/>
    <n v="8"/>
    <n v="35434"/>
    <n v="283472"/>
    <n v="162899"/>
    <n v="120573"/>
    <n v="9"/>
  </r>
  <r>
    <n v="4"/>
    <x v="3"/>
    <x v="3"/>
    <x v="7"/>
    <x v="5"/>
    <x v="2"/>
    <x v="9"/>
    <n v="4"/>
    <n v="148379"/>
    <n v="593516"/>
    <n v="359980"/>
    <n v="233536"/>
    <n v="6"/>
  </r>
  <r>
    <n v="4"/>
    <x v="3"/>
    <x v="3"/>
    <x v="6"/>
    <x v="5"/>
    <x v="2"/>
    <x v="10"/>
    <n v="2"/>
    <n v="108503"/>
    <n v="217006"/>
    <n v="97585"/>
    <n v="119421"/>
    <n v="6"/>
  </r>
  <r>
    <n v="4"/>
    <x v="3"/>
    <x v="3"/>
    <x v="6"/>
    <x v="5"/>
    <x v="2"/>
    <x v="11"/>
    <n v="4"/>
    <n v="59332"/>
    <n v="237328"/>
    <n v="158304"/>
    <n v="79024"/>
    <n v="0"/>
  </r>
  <r>
    <n v="4"/>
    <x v="3"/>
    <x v="3"/>
    <x v="7"/>
    <x v="5"/>
    <x v="3"/>
    <x v="12"/>
    <n v="15"/>
    <n v="16411"/>
    <n v="246165"/>
    <n v="123557"/>
    <n v="122608"/>
    <n v="9"/>
  </r>
  <r>
    <n v="4"/>
    <x v="3"/>
    <x v="3"/>
    <x v="7"/>
    <x v="5"/>
    <x v="3"/>
    <x v="13"/>
    <n v="18"/>
    <n v="7011"/>
    <n v="126198"/>
    <n v="50733"/>
    <n v="75465"/>
    <n v="14"/>
  </r>
  <r>
    <n v="4"/>
    <x v="3"/>
    <x v="3"/>
    <x v="7"/>
    <x v="5"/>
    <x v="3"/>
    <x v="14"/>
    <n v="11"/>
    <n v="18104"/>
    <n v="199144"/>
    <n v="85707"/>
    <n v="113437"/>
    <n v="4"/>
  </r>
  <r>
    <n v="4"/>
    <x v="3"/>
    <x v="3"/>
    <x v="6"/>
    <x v="5"/>
    <x v="3"/>
    <x v="15"/>
    <n v="8"/>
    <n v="5929"/>
    <n v="47432"/>
    <n v="30950"/>
    <n v="16482"/>
    <n v="7"/>
  </r>
  <r>
    <n v="4"/>
    <x v="3"/>
    <x v="3"/>
    <x v="7"/>
    <x v="5"/>
    <x v="4"/>
    <x v="16"/>
    <n v="12"/>
    <n v="134149"/>
    <n v="1609788"/>
    <n v="863169"/>
    <n v="746619"/>
    <n v="3"/>
  </r>
  <r>
    <n v="4"/>
    <x v="3"/>
    <x v="3"/>
    <x v="7"/>
    <x v="5"/>
    <x v="4"/>
    <x v="17"/>
    <n v="17"/>
    <n v="103820"/>
    <n v="1764940"/>
    <n v="1220645"/>
    <n v="544295"/>
    <n v="13"/>
  </r>
  <r>
    <n v="4"/>
    <x v="3"/>
    <x v="3"/>
    <x v="6"/>
    <x v="5"/>
    <x v="4"/>
    <x v="18"/>
    <n v="3"/>
    <n v="140906"/>
    <n v="422718"/>
    <n v="186307"/>
    <n v="236411"/>
    <n v="9"/>
  </r>
  <r>
    <n v="4"/>
    <x v="3"/>
    <x v="3"/>
    <x v="7"/>
    <x v="5"/>
    <x v="4"/>
    <x v="19"/>
    <n v="14"/>
    <n v="67093"/>
    <n v="939302"/>
    <n v="636556"/>
    <n v="302746"/>
    <n v="10"/>
  </r>
  <r>
    <n v="4"/>
    <x v="3"/>
    <x v="3"/>
    <x v="7"/>
    <x v="6"/>
    <x v="0"/>
    <x v="0"/>
    <n v="10"/>
    <n v="97362"/>
    <n v="973620"/>
    <n v="396268"/>
    <n v="577352"/>
    <n v="10"/>
  </r>
  <r>
    <n v="4"/>
    <x v="3"/>
    <x v="3"/>
    <x v="6"/>
    <x v="6"/>
    <x v="0"/>
    <x v="1"/>
    <n v="15"/>
    <n v="139028"/>
    <n v="2085420"/>
    <n v="1015127"/>
    <n v="1070293"/>
    <n v="4"/>
  </r>
  <r>
    <n v="4"/>
    <x v="3"/>
    <x v="3"/>
    <x v="7"/>
    <x v="6"/>
    <x v="0"/>
    <x v="2"/>
    <n v="5"/>
    <n v="91849"/>
    <n v="459245"/>
    <n v="235335"/>
    <n v="223910"/>
    <n v="2"/>
  </r>
  <r>
    <n v="4"/>
    <x v="3"/>
    <x v="3"/>
    <x v="7"/>
    <x v="6"/>
    <x v="0"/>
    <x v="3"/>
    <n v="6"/>
    <n v="50403"/>
    <n v="302418"/>
    <n v="211226"/>
    <n v="91192"/>
    <n v="8"/>
  </r>
  <r>
    <n v="4"/>
    <x v="3"/>
    <x v="3"/>
    <x v="6"/>
    <x v="6"/>
    <x v="1"/>
    <x v="4"/>
    <n v="17"/>
    <n v="45372"/>
    <n v="771324"/>
    <n v="375265"/>
    <n v="396059"/>
    <n v="14"/>
  </r>
  <r>
    <n v="4"/>
    <x v="3"/>
    <x v="3"/>
    <x v="7"/>
    <x v="6"/>
    <x v="1"/>
    <x v="5"/>
    <n v="17"/>
    <n v="79500"/>
    <n v="1351500"/>
    <n v="934187"/>
    <n v="417313"/>
    <n v="5"/>
  </r>
  <r>
    <n v="4"/>
    <x v="3"/>
    <x v="3"/>
    <x v="7"/>
    <x v="6"/>
    <x v="1"/>
    <x v="6"/>
    <n v="4"/>
    <n v="47716"/>
    <n v="190864"/>
    <n v="85171"/>
    <n v="105693"/>
    <n v="0"/>
  </r>
  <r>
    <n v="4"/>
    <x v="3"/>
    <x v="3"/>
    <x v="6"/>
    <x v="6"/>
    <x v="1"/>
    <x v="7"/>
    <n v="13"/>
    <n v="96449"/>
    <n v="1253837"/>
    <n v="564854"/>
    <n v="688983"/>
    <n v="4"/>
  </r>
  <r>
    <n v="4"/>
    <x v="3"/>
    <x v="3"/>
    <x v="6"/>
    <x v="6"/>
    <x v="2"/>
    <x v="8"/>
    <n v="19"/>
    <n v="84386"/>
    <n v="1603334"/>
    <n v="786755"/>
    <n v="816579"/>
    <n v="12"/>
  </r>
  <r>
    <n v="4"/>
    <x v="3"/>
    <x v="3"/>
    <x v="7"/>
    <x v="6"/>
    <x v="2"/>
    <x v="9"/>
    <n v="19"/>
    <n v="90393"/>
    <n v="1717467"/>
    <n v="716689"/>
    <n v="1000778"/>
    <n v="13"/>
  </r>
  <r>
    <n v="4"/>
    <x v="3"/>
    <x v="3"/>
    <x v="6"/>
    <x v="6"/>
    <x v="2"/>
    <x v="10"/>
    <n v="12"/>
    <n v="111668"/>
    <n v="1340016"/>
    <n v="924510"/>
    <n v="415506"/>
    <n v="6"/>
  </r>
  <r>
    <n v="4"/>
    <x v="3"/>
    <x v="3"/>
    <x v="6"/>
    <x v="6"/>
    <x v="2"/>
    <x v="11"/>
    <n v="4"/>
    <n v="95250"/>
    <n v="381000"/>
    <n v="171287"/>
    <n v="209713"/>
    <n v="14"/>
  </r>
  <r>
    <n v="4"/>
    <x v="3"/>
    <x v="3"/>
    <x v="6"/>
    <x v="6"/>
    <x v="3"/>
    <x v="12"/>
    <n v="3"/>
    <n v="10004"/>
    <n v="30012"/>
    <n v="17643"/>
    <n v="12369"/>
    <n v="10"/>
  </r>
  <r>
    <n v="4"/>
    <x v="3"/>
    <x v="3"/>
    <x v="6"/>
    <x v="6"/>
    <x v="3"/>
    <x v="13"/>
    <n v="4"/>
    <n v="19770"/>
    <n v="79080"/>
    <n v="50193"/>
    <n v="28887"/>
    <n v="2"/>
  </r>
  <r>
    <n v="4"/>
    <x v="3"/>
    <x v="3"/>
    <x v="7"/>
    <x v="6"/>
    <x v="3"/>
    <x v="14"/>
    <n v="18"/>
    <n v="7151"/>
    <n v="128718"/>
    <n v="64068"/>
    <n v="64650"/>
    <n v="7"/>
  </r>
  <r>
    <n v="4"/>
    <x v="3"/>
    <x v="3"/>
    <x v="7"/>
    <x v="6"/>
    <x v="3"/>
    <x v="15"/>
    <n v="19"/>
    <n v="17452"/>
    <n v="331588"/>
    <n v="205334"/>
    <n v="126254"/>
    <n v="7"/>
  </r>
  <r>
    <n v="4"/>
    <x v="3"/>
    <x v="3"/>
    <x v="6"/>
    <x v="6"/>
    <x v="4"/>
    <x v="16"/>
    <n v="5"/>
    <n v="110768"/>
    <n v="553840"/>
    <n v="339650"/>
    <n v="214190"/>
    <n v="5"/>
  </r>
  <r>
    <n v="4"/>
    <x v="3"/>
    <x v="3"/>
    <x v="6"/>
    <x v="6"/>
    <x v="4"/>
    <x v="17"/>
    <n v="19"/>
    <n v="95774"/>
    <n v="1819706"/>
    <n v="1254157"/>
    <n v="565549"/>
    <n v="4"/>
  </r>
  <r>
    <n v="4"/>
    <x v="3"/>
    <x v="3"/>
    <x v="7"/>
    <x v="6"/>
    <x v="4"/>
    <x v="18"/>
    <n v="2"/>
    <n v="44842"/>
    <n v="89684"/>
    <n v="45383"/>
    <n v="44301"/>
    <n v="14"/>
  </r>
  <r>
    <n v="4"/>
    <x v="3"/>
    <x v="3"/>
    <x v="6"/>
    <x v="6"/>
    <x v="4"/>
    <x v="19"/>
    <n v="12"/>
    <n v="96021"/>
    <n v="1152252"/>
    <n v="506064"/>
    <n v="646188"/>
    <n v="10"/>
  </r>
  <r>
    <n v="4"/>
    <x v="3"/>
    <x v="3"/>
    <x v="7"/>
    <x v="7"/>
    <x v="0"/>
    <x v="0"/>
    <n v="7"/>
    <n v="36859"/>
    <n v="258013"/>
    <n v="107674"/>
    <n v="150339"/>
    <n v="7"/>
  </r>
  <r>
    <n v="4"/>
    <x v="3"/>
    <x v="3"/>
    <x v="6"/>
    <x v="7"/>
    <x v="0"/>
    <x v="1"/>
    <n v="9"/>
    <n v="86093"/>
    <n v="774837"/>
    <n v="317945"/>
    <n v="456892"/>
    <n v="5"/>
  </r>
  <r>
    <n v="4"/>
    <x v="3"/>
    <x v="3"/>
    <x v="7"/>
    <x v="7"/>
    <x v="0"/>
    <x v="2"/>
    <n v="17"/>
    <n v="86418"/>
    <n v="1469106"/>
    <n v="791558"/>
    <n v="677548"/>
    <n v="11"/>
  </r>
  <r>
    <n v="4"/>
    <x v="3"/>
    <x v="3"/>
    <x v="7"/>
    <x v="7"/>
    <x v="0"/>
    <x v="3"/>
    <n v="12"/>
    <n v="76115"/>
    <n v="913380"/>
    <n v="601976"/>
    <n v="311404"/>
    <n v="14"/>
  </r>
  <r>
    <n v="4"/>
    <x v="3"/>
    <x v="3"/>
    <x v="6"/>
    <x v="7"/>
    <x v="1"/>
    <x v="4"/>
    <n v="4"/>
    <n v="92805"/>
    <n v="371220"/>
    <n v="206670"/>
    <n v="164550"/>
    <n v="13"/>
  </r>
  <r>
    <n v="4"/>
    <x v="3"/>
    <x v="3"/>
    <x v="7"/>
    <x v="7"/>
    <x v="1"/>
    <x v="5"/>
    <n v="15"/>
    <n v="71098"/>
    <n v="1066470"/>
    <n v="590165"/>
    <n v="476305"/>
    <n v="8"/>
  </r>
  <r>
    <n v="4"/>
    <x v="3"/>
    <x v="3"/>
    <x v="6"/>
    <x v="7"/>
    <x v="1"/>
    <x v="6"/>
    <n v="19"/>
    <n v="56593"/>
    <n v="1075267"/>
    <n v="664208"/>
    <n v="411059"/>
    <n v="4"/>
  </r>
  <r>
    <n v="4"/>
    <x v="3"/>
    <x v="3"/>
    <x v="6"/>
    <x v="7"/>
    <x v="1"/>
    <x v="7"/>
    <n v="14"/>
    <n v="89338"/>
    <n v="1250732"/>
    <n v="653226"/>
    <n v="597506"/>
    <n v="2"/>
  </r>
  <r>
    <n v="4"/>
    <x v="3"/>
    <x v="3"/>
    <x v="7"/>
    <x v="7"/>
    <x v="2"/>
    <x v="8"/>
    <n v="15"/>
    <n v="26142"/>
    <n v="392130"/>
    <n v="226424"/>
    <n v="165706"/>
    <n v="6"/>
  </r>
  <r>
    <n v="4"/>
    <x v="3"/>
    <x v="3"/>
    <x v="7"/>
    <x v="7"/>
    <x v="2"/>
    <x v="9"/>
    <n v="13"/>
    <n v="73410"/>
    <n v="954330"/>
    <n v="439127"/>
    <n v="515203"/>
    <n v="8"/>
  </r>
  <r>
    <n v="4"/>
    <x v="3"/>
    <x v="3"/>
    <x v="6"/>
    <x v="7"/>
    <x v="2"/>
    <x v="10"/>
    <n v="8"/>
    <n v="102035"/>
    <n v="816280"/>
    <n v="327287"/>
    <n v="488993"/>
    <n v="0"/>
  </r>
  <r>
    <n v="4"/>
    <x v="3"/>
    <x v="3"/>
    <x v="6"/>
    <x v="7"/>
    <x v="2"/>
    <x v="11"/>
    <n v="17"/>
    <n v="35072"/>
    <n v="596224"/>
    <n v="398234"/>
    <n v="197990"/>
    <n v="2"/>
  </r>
  <r>
    <n v="4"/>
    <x v="3"/>
    <x v="3"/>
    <x v="6"/>
    <x v="7"/>
    <x v="3"/>
    <x v="12"/>
    <n v="6"/>
    <n v="10442"/>
    <n v="62652"/>
    <n v="33487"/>
    <n v="29165"/>
    <n v="12"/>
  </r>
  <r>
    <n v="4"/>
    <x v="3"/>
    <x v="3"/>
    <x v="6"/>
    <x v="7"/>
    <x v="3"/>
    <x v="13"/>
    <n v="15"/>
    <n v="12661"/>
    <n v="189915"/>
    <n v="88542"/>
    <n v="101373"/>
    <n v="6"/>
  </r>
  <r>
    <n v="4"/>
    <x v="3"/>
    <x v="3"/>
    <x v="6"/>
    <x v="7"/>
    <x v="3"/>
    <x v="14"/>
    <n v="16"/>
    <n v="6137"/>
    <n v="98192"/>
    <n v="53323"/>
    <n v="44869"/>
    <n v="12"/>
  </r>
  <r>
    <n v="4"/>
    <x v="3"/>
    <x v="3"/>
    <x v="7"/>
    <x v="7"/>
    <x v="3"/>
    <x v="15"/>
    <n v="11"/>
    <n v="8906"/>
    <n v="97966"/>
    <n v="59539"/>
    <n v="38427"/>
    <n v="9"/>
  </r>
  <r>
    <n v="4"/>
    <x v="3"/>
    <x v="3"/>
    <x v="6"/>
    <x v="7"/>
    <x v="4"/>
    <x v="16"/>
    <n v="16"/>
    <n v="37611"/>
    <n v="601776"/>
    <n v="385937"/>
    <n v="215839"/>
    <n v="7"/>
  </r>
  <r>
    <n v="4"/>
    <x v="3"/>
    <x v="3"/>
    <x v="6"/>
    <x v="7"/>
    <x v="4"/>
    <x v="17"/>
    <n v="3"/>
    <n v="69847"/>
    <n v="209541"/>
    <n v="117044"/>
    <n v="92497"/>
    <n v="13"/>
  </r>
  <r>
    <n v="4"/>
    <x v="3"/>
    <x v="3"/>
    <x v="6"/>
    <x v="7"/>
    <x v="4"/>
    <x v="18"/>
    <n v="15"/>
    <n v="47810"/>
    <n v="717150"/>
    <n v="501536"/>
    <n v="215614"/>
    <n v="7"/>
  </r>
  <r>
    <n v="4"/>
    <x v="3"/>
    <x v="3"/>
    <x v="6"/>
    <x v="7"/>
    <x v="4"/>
    <x v="19"/>
    <n v="17"/>
    <n v="146439"/>
    <n v="2489463"/>
    <n v="1215818"/>
    <n v="1273645"/>
    <n v="6"/>
  </r>
  <r>
    <n v="4"/>
    <x v="3"/>
    <x v="3"/>
    <x v="7"/>
    <x v="8"/>
    <x v="0"/>
    <x v="0"/>
    <n v="3"/>
    <n v="86624"/>
    <n v="259872"/>
    <n v="130594"/>
    <n v="129278"/>
    <n v="4"/>
  </r>
  <r>
    <n v="4"/>
    <x v="3"/>
    <x v="3"/>
    <x v="6"/>
    <x v="8"/>
    <x v="0"/>
    <x v="1"/>
    <n v="1"/>
    <n v="145838"/>
    <n v="145838"/>
    <n v="64585"/>
    <n v="81253"/>
    <n v="7"/>
  </r>
  <r>
    <n v="4"/>
    <x v="3"/>
    <x v="3"/>
    <x v="6"/>
    <x v="8"/>
    <x v="0"/>
    <x v="2"/>
    <n v="8"/>
    <n v="28068"/>
    <n v="224544"/>
    <n v="145185"/>
    <n v="79359"/>
    <n v="8"/>
  </r>
  <r>
    <n v="4"/>
    <x v="3"/>
    <x v="3"/>
    <x v="7"/>
    <x v="8"/>
    <x v="0"/>
    <x v="3"/>
    <n v="1"/>
    <n v="40131"/>
    <n v="40131"/>
    <n v="24480"/>
    <n v="15651"/>
    <n v="14"/>
  </r>
  <r>
    <n v="4"/>
    <x v="3"/>
    <x v="3"/>
    <x v="7"/>
    <x v="8"/>
    <x v="1"/>
    <x v="4"/>
    <n v="8"/>
    <n v="113718"/>
    <n v="909744"/>
    <n v="496982"/>
    <n v="412762"/>
    <n v="13"/>
  </r>
  <r>
    <n v="4"/>
    <x v="3"/>
    <x v="3"/>
    <x v="7"/>
    <x v="8"/>
    <x v="1"/>
    <x v="5"/>
    <n v="14"/>
    <n v="68511"/>
    <n v="959154"/>
    <n v="581460"/>
    <n v="377694"/>
    <n v="14"/>
  </r>
  <r>
    <n v="4"/>
    <x v="3"/>
    <x v="3"/>
    <x v="6"/>
    <x v="8"/>
    <x v="1"/>
    <x v="6"/>
    <n v="6"/>
    <n v="86634"/>
    <n v="519804"/>
    <n v="262317"/>
    <n v="257487"/>
    <n v="2"/>
  </r>
  <r>
    <n v="4"/>
    <x v="3"/>
    <x v="3"/>
    <x v="7"/>
    <x v="8"/>
    <x v="1"/>
    <x v="7"/>
    <n v="14"/>
    <n v="52955"/>
    <n v="741370"/>
    <n v="424888"/>
    <n v="316482"/>
    <n v="1"/>
  </r>
  <r>
    <n v="4"/>
    <x v="3"/>
    <x v="3"/>
    <x v="6"/>
    <x v="8"/>
    <x v="2"/>
    <x v="8"/>
    <n v="13"/>
    <n v="48220"/>
    <n v="626860"/>
    <n v="269726"/>
    <n v="357134"/>
    <n v="5"/>
  </r>
  <r>
    <n v="4"/>
    <x v="3"/>
    <x v="3"/>
    <x v="6"/>
    <x v="8"/>
    <x v="2"/>
    <x v="9"/>
    <n v="16"/>
    <n v="90721"/>
    <n v="1451536"/>
    <n v="614084"/>
    <n v="837452"/>
    <n v="6"/>
  </r>
  <r>
    <n v="4"/>
    <x v="3"/>
    <x v="3"/>
    <x v="7"/>
    <x v="8"/>
    <x v="2"/>
    <x v="10"/>
    <n v="2"/>
    <n v="109833"/>
    <n v="219666"/>
    <n v="103829"/>
    <n v="115837"/>
    <n v="5"/>
  </r>
  <r>
    <n v="4"/>
    <x v="3"/>
    <x v="3"/>
    <x v="6"/>
    <x v="8"/>
    <x v="2"/>
    <x v="11"/>
    <n v="2"/>
    <n v="131041"/>
    <n v="262082"/>
    <n v="160664"/>
    <n v="101418"/>
    <n v="7"/>
  </r>
  <r>
    <n v="4"/>
    <x v="3"/>
    <x v="3"/>
    <x v="6"/>
    <x v="8"/>
    <x v="3"/>
    <x v="12"/>
    <n v="15"/>
    <n v="19238"/>
    <n v="288570"/>
    <n v="135545"/>
    <n v="153025"/>
    <n v="6"/>
  </r>
  <r>
    <n v="4"/>
    <x v="3"/>
    <x v="3"/>
    <x v="6"/>
    <x v="8"/>
    <x v="3"/>
    <x v="13"/>
    <n v="3"/>
    <n v="7951"/>
    <n v="23853"/>
    <n v="11634"/>
    <n v="12219"/>
    <n v="7"/>
  </r>
  <r>
    <n v="4"/>
    <x v="3"/>
    <x v="3"/>
    <x v="6"/>
    <x v="8"/>
    <x v="3"/>
    <x v="14"/>
    <n v="7"/>
    <n v="6588"/>
    <n v="46116"/>
    <n v="30098"/>
    <n v="16018"/>
    <n v="0"/>
  </r>
  <r>
    <n v="4"/>
    <x v="3"/>
    <x v="3"/>
    <x v="6"/>
    <x v="8"/>
    <x v="3"/>
    <x v="15"/>
    <n v="9"/>
    <n v="10789"/>
    <n v="97101"/>
    <n v="67358"/>
    <n v="29743"/>
    <n v="4"/>
  </r>
  <r>
    <n v="4"/>
    <x v="3"/>
    <x v="3"/>
    <x v="6"/>
    <x v="8"/>
    <x v="4"/>
    <x v="16"/>
    <n v="19"/>
    <n v="131668"/>
    <n v="2501692"/>
    <n v="1312979"/>
    <n v="1188713"/>
    <n v="8"/>
  </r>
  <r>
    <n v="4"/>
    <x v="3"/>
    <x v="3"/>
    <x v="6"/>
    <x v="8"/>
    <x v="4"/>
    <x v="17"/>
    <n v="17"/>
    <n v="36566"/>
    <n v="621622"/>
    <n v="342467"/>
    <n v="279155"/>
    <n v="13"/>
  </r>
  <r>
    <n v="4"/>
    <x v="3"/>
    <x v="3"/>
    <x v="7"/>
    <x v="8"/>
    <x v="4"/>
    <x v="18"/>
    <n v="10"/>
    <n v="100905"/>
    <n v="1009050"/>
    <n v="652279"/>
    <n v="356771"/>
    <n v="5"/>
  </r>
  <r>
    <n v="4"/>
    <x v="3"/>
    <x v="3"/>
    <x v="7"/>
    <x v="8"/>
    <x v="4"/>
    <x v="19"/>
    <n v="18"/>
    <n v="100909"/>
    <n v="1816362"/>
    <n v="978931"/>
    <n v="837431"/>
    <n v="13"/>
  </r>
  <r>
    <n v="4"/>
    <x v="3"/>
    <x v="3"/>
    <x v="6"/>
    <x v="9"/>
    <x v="0"/>
    <x v="0"/>
    <n v="15"/>
    <n v="66101"/>
    <n v="991515"/>
    <n v="564158"/>
    <n v="427357"/>
    <n v="3"/>
  </r>
  <r>
    <n v="4"/>
    <x v="3"/>
    <x v="3"/>
    <x v="7"/>
    <x v="9"/>
    <x v="0"/>
    <x v="1"/>
    <n v="13"/>
    <n v="76378"/>
    <n v="992914"/>
    <n v="628121"/>
    <n v="364793"/>
    <n v="1"/>
  </r>
  <r>
    <n v="4"/>
    <x v="3"/>
    <x v="3"/>
    <x v="6"/>
    <x v="9"/>
    <x v="0"/>
    <x v="2"/>
    <n v="12"/>
    <n v="113814"/>
    <n v="1365768"/>
    <n v="611300"/>
    <n v="754468"/>
    <n v="1"/>
  </r>
  <r>
    <n v="4"/>
    <x v="3"/>
    <x v="3"/>
    <x v="6"/>
    <x v="9"/>
    <x v="0"/>
    <x v="3"/>
    <n v="18"/>
    <n v="93463"/>
    <n v="1682334"/>
    <n v="990671"/>
    <n v="691663"/>
    <n v="10"/>
  </r>
  <r>
    <n v="4"/>
    <x v="3"/>
    <x v="3"/>
    <x v="6"/>
    <x v="9"/>
    <x v="1"/>
    <x v="4"/>
    <n v="9"/>
    <n v="99563"/>
    <n v="896067"/>
    <n v="466612"/>
    <n v="429455"/>
    <n v="8"/>
  </r>
  <r>
    <n v="4"/>
    <x v="3"/>
    <x v="3"/>
    <x v="7"/>
    <x v="9"/>
    <x v="1"/>
    <x v="5"/>
    <n v="17"/>
    <n v="109081"/>
    <n v="1854377"/>
    <n v="1177353"/>
    <n v="677024"/>
    <n v="1"/>
  </r>
  <r>
    <n v="4"/>
    <x v="3"/>
    <x v="3"/>
    <x v="6"/>
    <x v="9"/>
    <x v="1"/>
    <x v="6"/>
    <n v="6"/>
    <n v="42736"/>
    <n v="256416"/>
    <n v="107388"/>
    <n v="149028"/>
    <n v="1"/>
  </r>
  <r>
    <n v="4"/>
    <x v="3"/>
    <x v="3"/>
    <x v="6"/>
    <x v="9"/>
    <x v="1"/>
    <x v="7"/>
    <n v="8"/>
    <n v="42440"/>
    <n v="339520"/>
    <n v="170476"/>
    <n v="169044"/>
    <n v="11"/>
  </r>
  <r>
    <n v="4"/>
    <x v="3"/>
    <x v="3"/>
    <x v="6"/>
    <x v="9"/>
    <x v="2"/>
    <x v="8"/>
    <n v="11"/>
    <n v="123032"/>
    <n v="1353352"/>
    <n v="687597"/>
    <n v="665755"/>
    <n v="2"/>
  </r>
  <r>
    <n v="4"/>
    <x v="3"/>
    <x v="3"/>
    <x v="6"/>
    <x v="9"/>
    <x v="2"/>
    <x v="9"/>
    <n v="9"/>
    <n v="148922"/>
    <n v="1340298"/>
    <n v="884548"/>
    <n v="455750"/>
    <n v="3"/>
  </r>
  <r>
    <n v="4"/>
    <x v="3"/>
    <x v="3"/>
    <x v="7"/>
    <x v="9"/>
    <x v="2"/>
    <x v="10"/>
    <n v="4"/>
    <n v="36209"/>
    <n v="144836"/>
    <n v="96686"/>
    <n v="48150"/>
    <n v="12"/>
  </r>
  <r>
    <n v="4"/>
    <x v="3"/>
    <x v="3"/>
    <x v="6"/>
    <x v="9"/>
    <x v="2"/>
    <x v="11"/>
    <n v="19"/>
    <n v="22224"/>
    <n v="422256"/>
    <n v="216699"/>
    <n v="205557"/>
    <n v="7"/>
  </r>
  <r>
    <n v="4"/>
    <x v="3"/>
    <x v="3"/>
    <x v="6"/>
    <x v="9"/>
    <x v="3"/>
    <x v="12"/>
    <n v="12"/>
    <n v="16684"/>
    <n v="200208"/>
    <n v="87051"/>
    <n v="113157"/>
    <n v="6"/>
  </r>
  <r>
    <n v="4"/>
    <x v="3"/>
    <x v="3"/>
    <x v="6"/>
    <x v="9"/>
    <x v="3"/>
    <x v="13"/>
    <n v="1"/>
    <n v="17091"/>
    <n v="17091"/>
    <n v="10080"/>
    <n v="7011"/>
    <n v="7"/>
  </r>
  <r>
    <n v="4"/>
    <x v="3"/>
    <x v="3"/>
    <x v="6"/>
    <x v="9"/>
    <x v="3"/>
    <x v="14"/>
    <n v="10"/>
    <n v="11318"/>
    <n v="113180"/>
    <n v="50940"/>
    <n v="62240"/>
    <n v="4"/>
  </r>
  <r>
    <n v="4"/>
    <x v="3"/>
    <x v="3"/>
    <x v="7"/>
    <x v="9"/>
    <x v="3"/>
    <x v="15"/>
    <n v="11"/>
    <n v="18412"/>
    <n v="202532"/>
    <n v="139709"/>
    <n v="62823"/>
    <n v="11"/>
  </r>
  <r>
    <n v="4"/>
    <x v="3"/>
    <x v="3"/>
    <x v="6"/>
    <x v="9"/>
    <x v="4"/>
    <x v="16"/>
    <n v="11"/>
    <n v="140592"/>
    <n v="1546512"/>
    <n v="932287"/>
    <n v="614225"/>
    <n v="8"/>
  </r>
  <r>
    <n v="4"/>
    <x v="3"/>
    <x v="3"/>
    <x v="7"/>
    <x v="9"/>
    <x v="4"/>
    <x v="17"/>
    <n v="9"/>
    <n v="98356"/>
    <n v="885204"/>
    <n v="480331"/>
    <n v="404873"/>
    <n v="2"/>
  </r>
  <r>
    <n v="4"/>
    <x v="3"/>
    <x v="3"/>
    <x v="6"/>
    <x v="9"/>
    <x v="4"/>
    <x v="18"/>
    <n v="12"/>
    <n v="86852"/>
    <n v="1042224"/>
    <n v="431955"/>
    <n v="610269"/>
    <n v="4"/>
  </r>
  <r>
    <n v="4"/>
    <x v="3"/>
    <x v="3"/>
    <x v="6"/>
    <x v="9"/>
    <x v="4"/>
    <x v="19"/>
    <n v="16"/>
    <n v="100742"/>
    <n v="1611872"/>
    <n v="886723"/>
    <n v="725149"/>
    <n v="8"/>
  </r>
  <r>
    <n v="4"/>
    <x v="3"/>
    <x v="3"/>
    <x v="6"/>
    <x v="10"/>
    <x v="0"/>
    <x v="0"/>
    <n v="3"/>
    <n v="138062"/>
    <n v="414186"/>
    <n v="179464"/>
    <n v="234722"/>
    <n v="13"/>
  </r>
  <r>
    <n v="4"/>
    <x v="3"/>
    <x v="3"/>
    <x v="6"/>
    <x v="10"/>
    <x v="0"/>
    <x v="1"/>
    <n v="3"/>
    <n v="25355"/>
    <n v="76065"/>
    <n v="30491"/>
    <n v="45574"/>
    <n v="6"/>
  </r>
  <r>
    <n v="4"/>
    <x v="3"/>
    <x v="3"/>
    <x v="6"/>
    <x v="10"/>
    <x v="0"/>
    <x v="2"/>
    <n v="9"/>
    <n v="98860"/>
    <n v="889740"/>
    <n v="467070"/>
    <n v="422670"/>
    <n v="12"/>
  </r>
  <r>
    <n v="4"/>
    <x v="3"/>
    <x v="3"/>
    <x v="7"/>
    <x v="10"/>
    <x v="0"/>
    <x v="3"/>
    <n v="4"/>
    <n v="46654"/>
    <n v="186616"/>
    <n v="114936"/>
    <n v="71680"/>
    <n v="8"/>
  </r>
  <r>
    <n v="4"/>
    <x v="3"/>
    <x v="3"/>
    <x v="7"/>
    <x v="10"/>
    <x v="1"/>
    <x v="4"/>
    <n v="9"/>
    <n v="72389"/>
    <n v="651501"/>
    <n v="352908"/>
    <n v="298593"/>
    <n v="7"/>
  </r>
  <r>
    <n v="4"/>
    <x v="3"/>
    <x v="3"/>
    <x v="7"/>
    <x v="10"/>
    <x v="1"/>
    <x v="5"/>
    <n v="1"/>
    <n v="47747"/>
    <n v="47747"/>
    <n v="28807"/>
    <n v="18940"/>
    <n v="12"/>
  </r>
  <r>
    <n v="4"/>
    <x v="3"/>
    <x v="3"/>
    <x v="6"/>
    <x v="10"/>
    <x v="1"/>
    <x v="6"/>
    <n v="13"/>
    <n v="77505"/>
    <n v="1007565"/>
    <n v="522342"/>
    <n v="485223"/>
    <n v="7"/>
  </r>
  <r>
    <n v="4"/>
    <x v="3"/>
    <x v="3"/>
    <x v="7"/>
    <x v="10"/>
    <x v="1"/>
    <x v="7"/>
    <n v="7"/>
    <n v="116035"/>
    <n v="812245"/>
    <n v="504874"/>
    <n v="307371"/>
    <n v="11"/>
  </r>
  <r>
    <n v="4"/>
    <x v="3"/>
    <x v="3"/>
    <x v="7"/>
    <x v="10"/>
    <x v="2"/>
    <x v="8"/>
    <n v="6"/>
    <n v="134667"/>
    <n v="808002"/>
    <n v="335853"/>
    <n v="472149"/>
    <n v="11"/>
  </r>
  <r>
    <n v="4"/>
    <x v="3"/>
    <x v="3"/>
    <x v="7"/>
    <x v="10"/>
    <x v="2"/>
    <x v="9"/>
    <n v="8"/>
    <n v="82261"/>
    <n v="658088"/>
    <n v="302565"/>
    <n v="355523"/>
    <n v="3"/>
  </r>
  <r>
    <n v="4"/>
    <x v="3"/>
    <x v="3"/>
    <x v="7"/>
    <x v="10"/>
    <x v="2"/>
    <x v="10"/>
    <n v="11"/>
    <n v="100098"/>
    <n v="1101078"/>
    <n v="660712"/>
    <n v="440366"/>
    <n v="0"/>
  </r>
  <r>
    <n v="4"/>
    <x v="3"/>
    <x v="3"/>
    <x v="6"/>
    <x v="10"/>
    <x v="2"/>
    <x v="11"/>
    <n v="10"/>
    <n v="75860"/>
    <n v="758600"/>
    <n v="364338"/>
    <n v="394262"/>
    <n v="4"/>
  </r>
  <r>
    <n v="4"/>
    <x v="3"/>
    <x v="3"/>
    <x v="6"/>
    <x v="10"/>
    <x v="3"/>
    <x v="12"/>
    <n v="10"/>
    <n v="17845"/>
    <n v="178450"/>
    <n v="84329"/>
    <n v="94121"/>
    <n v="5"/>
  </r>
  <r>
    <n v="4"/>
    <x v="3"/>
    <x v="3"/>
    <x v="6"/>
    <x v="10"/>
    <x v="3"/>
    <x v="13"/>
    <n v="2"/>
    <n v="15197"/>
    <n v="30394"/>
    <n v="18625"/>
    <n v="11769"/>
    <n v="13"/>
  </r>
  <r>
    <n v="4"/>
    <x v="3"/>
    <x v="3"/>
    <x v="6"/>
    <x v="10"/>
    <x v="3"/>
    <x v="14"/>
    <n v="10"/>
    <n v="5674"/>
    <n v="56740"/>
    <n v="31085"/>
    <n v="25655"/>
    <n v="14"/>
  </r>
  <r>
    <n v="4"/>
    <x v="3"/>
    <x v="3"/>
    <x v="7"/>
    <x v="10"/>
    <x v="3"/>
    <x v="15"/>
    <n v="6"/>
    <n v="7064"/>
    <n v="42384"/>
    <n v="28474"/>
    <n v="13910"/>
    <n v="3"/>
  </r>
  <r>
    <n v="4"/>
    <x v="3"/>
    <x v="3"/>
    <x v="7"/>
    <x v="10"/>
    <x v="4"/>
    <x v="16"/>
    <n v="11"/>
    <n v="116664"/>
    <n v="1283304"/>
    <n v="884260"/>
    <n v="399044"/>
    <n v="11"/>
  </r>
  <r>
    <n v="4"/>
    <x v="3"/>
    <x v="3"/>
    <x v="6"/>
    <x v="10"/>
    <x v="4"/>
    <x v="17"/>
    <n v="6"/>
    <n v="64864"/>
    <n v="389184"/>
    <n v="192085"/>
    <n v="197099"/>
    <n v="11"/>
  </r>
  <r>
    <n v="4"/>
    <x v="3"/>
    <x v="3"/>
    <x v="6"/>
    <x v="10"/>
    <x v="4"/>
    <x v="18"/>
    <n v="16"/>
    <n v="31950"/>
    <n v="511200"/>
    <n v="238189"/>
    <n v="273011"/>
    <n v="11"/>
  </r>
  <r>
    <n v="4"/>
    <x v="3"/>
    <x v="3"/>
    <x v="7"/>
    <x v="10"/>
    <x v="4"/>
    <x v="19"/>
    <n v="12"/>
    <n v="23866"/>
    <n v="286392"/>
    <n v="163989"/>
    <n v="122403"/>
    <n v="9"/>
  </r>
  <r>
    <n v="4"/>
    <x v="3"/>
    <x v="3"/>
    <x v="7"/>
    <x v="11"/>
    <x v="0"/>
    <x v="0"/>
    <n v="15"/>
    <n v="134397"/>
    <n v="2015955"/>
    <n v="1028782"/>
    <n v="987173"/>
    <n v="4"/>
  </r>
  <r>
    <n v="4"/>
    <x v="3"/>
    <x v="3"/>
    <x v="7"/>
    <x v="11"/>
    <x v="0"/>
    <x v="1"/>
    <n v="6"/>
    <n v="113574"/>
    <n v="681444"/>
    <n v="276165"/>
    <n v="405279"/>
    <n v="4"/>
  </r>
  <r>
    <n v="4"/>
    <x v="3"/>
    <x v="3"/>
    <x v="6"/>
    <x v="11"/>
    <x v="0"/>
    <x v="2"/>
    <n v="1"/>
    <n v="75350"/>
    <n v="75350"/>
    <n v="41848"/>
    <n v="33502"/>
    <n v="3"/>
  </r>
  <r>
    <n v="4"/>
    <x v="3"/>
    <x v="3"/>
    <x v="6"/>
    <x v="11"/>
    <x v="0"/>
    <x v="3"/>
    <n v="12"/>
    <n v="66607"/>
    <n v="799284"/>
    <n v="455933"/>
    <n v="343351"/>
    <n v="4"/>
  </r>
  <r>
    <n v="4"/>
    <x v="3"/>
    <x v="3"/>
    <x v="6"/>
    <x v="11"/>
    <x v="1"/>
    <x v="4"/>
    <n v="4"/>
    <n v="70124"/>
    <n v="280496"/>
    <n v="194175"/>
    <n v="86321"/>
    <n v="14"/>
  </r>
  <r>
    <n v="4"/>
    <x v="3"/>
    <x v="3"/>
    <x v="6"/>
    <x v="11"/>
    <x v="1"/>
    <x v="5"/>
    <n v="19"/>
    <n v="40936"/>
    <n v="777784"/>
    <n v="438739"/>
    <n v="339045"/>
    <n v="7"/>
  </r>
  <r>
    <n v="4"/>
    <x v="3"/>
    <x v="3"/>
    <x v="6"/>
    <x v="11"/>
    <x v="1"/>
    <x v="6"/>
    <n v="1"/>
    <n v="47606"/>
    <n v="47606"/>
    <n v="30187"/>
    <n v="17419"/>
    <n v="7"/>
  </r>
  <r>
    <n v="4"/>
    <x v="3"/>
    <x v="3"/>
    <x v="6"/>
    <x v="11"/>
    <x v="1"/>
    <x v="7"/>
    <n v="13"/>
    <n v="129781"/>
    <n v="1687153"/>
    <n v="751961"/>
    <n v="935192"/>
    <n v="7"/>
  </r>
  <r>
    <n v="4"/>
    <x v="3"/>
    <x v="3"/>
    <x v="6"/>
    <x v="11"/>
    <x v="2"/>
    <x v="8"/>
    <n v="3"/>
    <n v="114108"/>
    <n v="342324"/>
    <n v="160368"/>
    <n v="181956"/>
    <n v="1"/>
  </r>
  <r>
    <n v="4"/>
    <x v="3"/>
    <x v="3"/>
    <x v="6"/>
    <x v="11"/>
    <x v="2"/>
    <x v="9"/>
    <n v="2"/>
    <n v="51131"/>
    <n v="102262"/>
    <n v="55428"/>
    <n v="46834"/>
    <n v="11"/>
  </r>
  <r>
    <n v="4"/>
    <x v="3"/>
    <x v="3"/>
    <x v="6"/>
    <x v="11"/>
    <x v="2"/>
    <x v="10"/>
    <n v="12"/>
    <n v="78585"/>
    <n v="943020"/>
    <n v="541918"/>
    <n v="401102"/>
    <n v="7"/>
  </r>
  <r>
    <n v="4"/>
    <x v="3"/>
    <x v="3"/>
    <x v="6"/>
    <x v="11"/>
    <x v="2"/>
    <x v="11"/>
    <n v="9"/>
    <n v="118934"/>
    <n v="1070406"/>
    <n v="680303"/>
    <n v="390103"/>
    <n v="3"/>
  </r>
  <r>
    <n v="4"/>
    <x v="3"/>
    <x v="3"/>
    <x v="7"/>
    <x v="11"/>
    <x v="3"/>
    <x v="12"/>
    <n v="18"/>
    <n v="16594"/>
    <n v="298692"/>
    <n v="205748"/>
    <n v="92944"/>
    <n v="11"/>
  </r>
  <r>
    <n v="4"/>
    <x v="3"/>
    <x v="3"/>
    <x v="6"/>
    <x v="11"/>
    <x v="3"/>
    <x v="13"/>
    <n v="9"/>
    <n v="14744"/>
    <n v="132696"/>
    <n v="62050"/>
    <n v="70646"/>
    <n v="11"/>
  </r>
  <r>
    <n v="4"/>
    <x v="3"/>
    <x v="3"/>
    <x v="6"/>
    <x v="11"/>
    <x v="3"/>
    <x v="14"/>
    <n v="7"/>
    <n v="15601"/>
    <n v="109207"/>
    <n v="73040"/>
    <n v="36167"/>
    <n v="8"/>
  </r>
  <r>
    <n v="4"/>
    <x v="3"/>
    <x v="3"/>
    <x v="6"/>
    <x v="11"/>
    <x v="3"/>
    <x v="15"/>
    <n v="10"/>
    <n v="19842"/>
    <n v="198420"/>
    <n v="113791"/>
    <n v="84629"/>
    <n v="10"/>
  </r>
  <r>
    <n v="4"/>
    <x v="3"/>
    <x v="3"/>
    <x v="7"/>
    <x v="11"/>
    <x v="4"/>
    <x v="16"/>
    <n v="13"/>
    <n v="138452"/>
    <n v="1799876"/>
    <n v="1004653"/>
    <n v="795223"/>
    <n v="3"/>
  </r>
  <r>
    <n v="4"/>
    <x v="3"/>
    <x v="3"/>
    <x v="6"/>
    <x v="11"/>
    <x v="4"/>
    <x v="17"/>
    <n v="15"/>
    <n v="27006"/>
    <n v="405090"/>
    <n v="243961"/>
    <n v="161129"/>
    <n v="10"/>
  </r>
  <r>
    <n v="4"/>
    <x v="3"/>
    <x v="3"/>
    <x v="6"/>
    <x v="11"/>
    <x v="4"/>
    <x v="18"/>
    <n v="1"/>
    <n v="53840"/>
    <n v="53840"/>
    <n v="36838"/>
    <n v="17002"/>
    <n v="5"/>
  </r>
  <r>
    <n v="4"/>
    <x v="3"/>
    <x v="3"/>
    <x v="6"/>
    <x v="11"/>
    <x v="4"/>
    <x v="19"/>
    <n v="15"/>
    <n v="110270"/>
    <n v="1654050"/>
    <n v="1012801"/>
    <n v="641249"/>
    <n v="1"/>
  </r>
  <r>
    <n v="5"/>
    <x v="4"/>
    <x v="4"/>
    <x v="8"/>
    <x v="0"/>
    <x v="0"/>
    <x v="0"/>
    <n v="17"/>
    <n v="36241"/>
    <n v="616097"/>
    <n v="247888"/>
    <n v="368209"/>
    <n v="3"/>
  </r>
  <r>
    <n v="5"/>
    <x v="4"/>
    <x v="4"/>
    <x v="9"/>
    <x v="0"/>
    <x v="0"/>
    <x v="1"/>
    <n v="9"/>
    <n v="67562"/>
    <n v="608058"/>
    <n v="251352"/>
    <n v="356706"/>
    <n v="0"/>
  </r>
  <r>
    <n v="5"/>
    <x v="4"/>
    <x v="4"/>
    <x v="8"/>
    <x v="0"/>
    <x v="0"/>
    <x v="2"/>
    <n v="18"/>
    <n v="47045"/>
    <n v="846810"/>
    <n v="473280"/>
    <n v="373530"/>
    <n v="14"/>
  </r>
  <r>
    <n v="5"/>
    <x v="4"/>
    <x v="4"/>
    <x v="9"/>
    <x v="0"/>
    <x v="0"/>
    <x v="3"/>
    <n v="14"/>
    <n v="47076"/>
    <n v="659064"/>
    <n v="386391"/>
    <n v="272673"/>
    <n v="13"/>
  </r>
  <r>
    <n v="5"/>
    <x v="4"/>
    <x v="4"/>
    <x v="9"/>
    <x v="0"/>
    <x v="1"/>
    <x v="4"/>
    <n v="18"/>
    <n v="85101"/>
    <n v="1531818"/>
    <n v="863904"/>
    <n v="667914"/>
    <n v="12"/>
  </r>
  <r>
    <n v="5"/>
    <x v="4"/>
    <x v="4"/>
    <x v="9"/>
    <x v="0"/>
    <x v="1"/>
    <x v="5"/>
    <n v="3"/>
    <n v="57853"/>
    <n v="173559"/>
    <n v="114408"/>
    <n v="59151"/>
    <n v="7"/>
  </r>
  <r>
    <n v="5"/>
    <x v="4"/>
    <x v="4"/>
    <x v="8"/>
    <x v="0"/>
    <x v="1"/>
    <x v="6"/>
    <n v="12"/>
    <n v="20492"/>
    <n v="245904"/>
    <n v="102048"/>
    <n v="143856"/>
    <n v="0"/>
  </r>
  <r>
    <n v="5"/>
    <x v="4"/>
    <x v="4"/>
    <x v="8"/>
    <x v="0"/>
    <x v="1"/>
    <x v="7"/>
    <n v="17"/>
    <n v="113935"/>
    <n v="1936895"/>
    <n v="1352910"/>
    <n v="583985"/>
    <n v="1"/>
  </r>
  <r>
    <n v="5"/>
    <x v="4"/>
    <x v="4"/>
    <x v="8"/>
    <x v="0"/>
    <x v="2"/>
    <x v="8"/>
    <n v="11"/>
    <n v="74110"/>
    <n v="815210"/>
    <n v="385262"/>
    <n v="429948"/>
    <n v="5"/>
  </r>
  <r>
    <n v="5"/>
    <x v="4"/>
    <x v="4"/>
    <x v="9"/>
    <x v="0"/>
    <x v="2"/>
    <x v="9"/>
    <n v="9"/>
    <n v="132911"/>
    <n v="1196199"/>
    <n v="706907"/>
    <n v="489292"/>
    <n v="11"/>
  </r>
  <r>
    <n v="5"/>
    <x v="4"/>
    <x v="4"/>
    <x v="8"/>
    <x v="0"/>
    <x v="2"/>
    <x v="10"/>
    <n v="16"/>
    <n v="137431"/>
    <n v="2198896"/>
    <n v="1349059"/>
    <n v="849837"/>
    <n v="9"/>
  </r>
  <r>
    <n v="5"/>
    <x v="4"/>
    <x v="4"/>
    <x v="8"/>
    <x v="0"/>
    <x v="2"/>
    <x v="11"/>
    <n v="12"/>
    <n v="107178"/>
    <n v="1286136"/>
    <n v="691541"/>
    <n v="594595"/>
    <n v="1"/>
  </r>
  <r>
    <n v="5"/>
    <x v="4"/>
    <x v="4"/>
    <x v="9"/>
    <x v="0"/>
    <x v="3"/>
    <x v="12"/>
    <n v="19"/>
    <n v="11102"/>
    <n v="210938"/>
    <n v="88999"/>
    <n v="121939"/>
    <n v="5"/>
  </r>
  <r>
    <n v="5"/>
    <x v="4"/>
    <x v="4"/>
    <x v="9"/>
    <x v="0"/>
    <x v="3"/>
    <x v="13"/>
    <n v="18"/>
    <n v="19489"/>
    <n v="350802"/>
    <n v="141814"/>
    <n v="208988"/>
    <n v="11"/>
  </r>
  <r>
    <n v="5"/>
    <x v="4"/>
    <x v="4"/>
    <x v="8"/>
    <x v="0"/>
    <x v="3"/>
    <x v="14"/>
    <n v="19"/>
    <n v="13988"/>
    <n v="265772"/>
    <n v="178697"/>
    <n v="87075"/>
    <n v="1"/>
  </r>
  <r>
    <n v="5"/>
    <x v="4"/>
    <x v="4"/>
    <x v="8"/>
    <x v="0"/>
    <x v="3"/>
    <x v="15"/>
    <n v="17"/>
    <n v="17906"/>
    <n v="304402"/>
    <n v="157851"/>
    <n v="146551"/>
    <n v="1"/>
  </r>
  <r>
    <n v="5"/>
    <x v="4"/>
    <x v="4"/>
    <x v="9"/>
    <x v="0"/>
    <x v="4"/>
    <x v="16"/>
    <n v="2"/>
    <n v="90902"/>
    <n v="181804"/>
    <n v="94145"/>
    <n v="87659"/>
    <n v="9"/>
  </r>
  <r>
    <n v="5"/>
    <x v="4"/>
    <x v="4"/>
    <x v="8"/>
    <x v="0"/>
    <x v="4"/>
    <x v="17"/>
    <n v="8"/>
    <n v="96253"/>
    <n v="770024"/>
    <n v="473949"/>
    <n v="296075"/>
    <n v="14"/>
  </r>
  <r>
    <n v="5"/>
    <x v="4"/>
    <x v="4"/>
    <x v="9"/>
    <x v="0"/>
    <x v="4"/>
    <x v="18"/>
    <n v="1"/>
    <n v="76746"/>
    <n v="76746"/>
    <n v="46046"/>
    <n v="30700"/>
    <n v="10"/>
  </r>
  <r>
    <n v="5"/>
    <x v="4"/>
    <x v="4"/>
    <x v="8"/>
    <x v="0"/>
    <x v="4"/>
    <x v="19"/>
    <n v="18"/>
    <n v="107893"/>
    <n v="1942074"/>
    <n v="1275092"/>
    <n v="666982"/>
    <n v="11"/>
  </r>
  <r>
    <n v="5"/>
    <x v="4"/>
    <x v="4"/>
    <x v="8"/>
    <x v="1"/>
    <x v="0"/>
    <x v="0"/>
    <n v="9"/>
    <n v="104388"/>
    <n v="939492"/>
    <n v="378344"/>
    <n v="561148"/>
    <n v="4"/>
  </r>
  <r>
    <n v="5"/>
    <x v="4"/>
    <x v="4"/>
    <x v="9"/>
    <x v="1"/>
    <x v="0"/>
    <x v="1"/>
    <n v="10"/>
    <n v="39710"/>
    <n v="397100"/>
    <n v="234411"/>
    <n v="162689"/>
    <n v="7"/>
  </r>
  <r>
    <n v="5"/>
    <x v="4"/>
    <x v="4"/>
    <x v="9"/>
    <x v="1"/>
    <x v="0"/>
    <x v="2"/>
    <n v="10"/>
    <n v="83227"/>
    <n v="832270"/>
    <n v="377323"/>
    <n v="454947"/>
    <n v="6"/>
  </r>
  <r>
    <n v="5"/>
    <x v="4"/>
    <x v="4"/>
    <x v="9"/>
    <x v="1"/>
    <x v="0"/>
    <x v="3"/>
    <n v="8"/>
    <n v="94671"/>
    <n v="757368"/>
    <n v="324622"/>
    <n v="432746"/>
    <n v="4"/>
  </r>
  <r>
    <n v="5"/>
    <x v="4"/>
    <x v="4"/>
    <x v="8"/>
    <x v="1"/>
    <x v="1"/>
    <x v="4"/>
    <n v="3"/>
    <n v="105867"/>
    <n v="317601"/>
    <n v="190157"/>
    <n v="127444"/>
    <n v="9"/>
  </r>
  <r>
    <n v="5"/>
    <x v="4"/>
    <x v="4"/>
    <x v="9"/>
    <x v="1"/>
    <x v="1"/>
    <x v="5"/>
    <n v="4"/>
    <n v="43816"/>
    <n v="175264"/>
    <n v="78192"/>
    <n v="97072"/>
    <n v="6"/>
  </r>
  <r>
    <n v="5"/>
    <x v="4"/>
    <x v="4"/>
    <x v="8"/>
    <x v="1"/>
    <x v="1"/>
    <x v="6"/>
    <n v="2"/>
    <n v="148498"/>
    <n v="296996"/>
    <n v="162873"/>
    <n v="134123"/>
    <n v="8"/>
  </r>
  <r>
    <n v="5"/>
    <x v="4"/>
    <x v="4"/>
    <x v="9"/>
    <x v="1"/>
    <x v="1"/>
    <x v="7"/>
    <n v="7"/>
    <n v="105744"/>
    <n v="740208"/>
    <n v="437191"/>
    <n v="303017"/>
    <n v="3"/>
  </r>
  <r>
    <n v="5"/>
    <x v="4"/>
    <x v="4"/>
    <x v="8"/>
    <x v="1"/>
    <x v="2"/>
    <x v="8"/>
    <n v="3"/>
    <n v="126082"/>
    <n v="378246"/>
    <n v="259203"/>
    <n v="119043"/>
    <n v="10"/>
  </r>
  <r>
    <n v="5"/>
    <x v="4"/>
    <x v="4"/>
    <x v="8"/>
    <x v="1"/>
    <x v="2"/>
    <x v="9"/>
    <n v="14"/>
    <n v="73521"/>
    <n v="1029294"/>
    <n v="718172"/>
    <n v="311122"/>
    <n v="12"/>
  </r>
  <r>
    <n v="5"/>
    <x v="4"/>
    <x v="4"/>
    <x v="9"/>
    <x v="1"/>
    <x v="2"/>
    <x v="10"/>
    <n v="18"/>
    <n v="83811"/>
    <n v="1508598"/>
    <n v="986896"/>
    <n v="521702"/>
    <n v="0"/>
  </r>
  <r>
    <n v="5"/>
    <x v="4"/>
    <x v="4"/>
    <x v="9"/>
    <x v="1"/>
    <x v="2"/>
    <x v="11"/>
    <n v="13"/>
    <n v="50099"/>
    <n v="651287"/>
    <n v="280405"/>
    <n v="370882"/>
    <n v="9"/>
  </r>
  <r>
    <n v="5"/>
    <x v="4"/>
    <x v="4"/>
    <x v="9"/>
    <x v="1"/>
    <x v="3"/>
    <x v="12"/>
    <n v="11"/>
    <n v="14256"/>
    <n v="156816"/>
    <n v="64557"/>
    <n v="92259"/>
    <n v="9"/>
  </r>
  <r>
    <n v="5"/>
    <x v="4"/>
    <x v="4"/>
    <x v="8"/>
    <x v="1"/>
    <x v="3"/>
    <x v="13"/>
    <n v="1"/>
    <n v="10520"/>
    <n v="10520"/>
    <n v="4675"/>
    <n v="5845"/>
    <n v="7"/>
  </r>
  <r>
    <n v="5"/>
    <x v="4"/>
    <x v="4"/>
    <x v="8"/>
    <x v="1"/>
    <x v="3"/>
    <x v="14"/>
    <n v="13"/>
    <n v="15152"/>
    <n v="196976"/>
    <n v="134955"/>
    <n v="62021"/>
    <n v="4"/>
  </r>
  <r>
    <n v="5"/>
    <x v="4"/>
    <x v="4"/>
    <x v="9"/>
    <x v="1"/>
    <x v="3"/>
    <x v="15"/>
    <n v="11"/>
    <n v="7871"/>
    <n v="86581"/>
    <n v="49699"/>
    <n v="36882"/>
    <n v="2"/>
  </r>
  <r>
    <n v="5"/>
    <x v="4"/>
    <x v="4"/>
    <x v="8"/>
    <x v="1"/>
    <x v="4"/>
    <x v="16"/>
    <n v="12"/>
    <n v="96057"/>
    <n v="1152684"/>
    <n v="751432"/>
    <n v="401252"/>
    <n v="12"/>
  </r>
  <r>
    <n v="5"/>
    <x v="4"/>
    <x v="4"/>
    <x v="9"/>
    <x v="1"/>
    <x v="4"/>
    <x v="17"/>
    <n v="7"/>
    <n v="109390"/>
    <n v="765730"/>
    <n v="513902"/>
    <n v="251828"/>
    <n v="9"/>
  </r>
  <r>
    <n v="5"/>
    <x v="4"/>
    <x v="4"/>
    <x v="8"/>
    <x v="1"/>
    <x v="4"/>
    <x v="18"/>
    <n v="8"/>
    <n v="27812"/>
    <n v="222496"/>
    <n v="116996"/>
    <n v="105500"/>
    <n v="3"/>
  </r>
  <r>
    <n v="5"/>
    <x v="4"/>
    <x v="4"/>
    <x v="8"/>
    <x v="1"/>
    <x v="4"/>
    <x v="19"/>
    <n v="10"/>
    <n v="28275"/>
    <n v="282750"/>
    <n v="155303"/>
    <n v="127447"/>
    <n v="3"/>
  </r>
  <r>
    <n v="5"/>
    <x v="4"/>
    <x v="4"/>
    <x v="8"/>
    <x v="2"/>
    <x v="0"/>
    <x v="0"/>
    <n v="13"/>
    <n v="40700"/>
    <n v="529100"/>
    <n v="252165"/>
    <n v="276935"/>
    <n v="2"/>
  </r>
  <r>
    <n v="5"/>
    <x v="4"/>
    <x v="4"/>
    <x v="9"/>
    <x v="2"/>
    <x v="0"/>
    <x v="1"/>
    <n v="16"/>
    <n v="102534"/>
    <n v="1640544"/>
    <n v="672365"/>
    <n v="968179"/>
    <n v="13"/>
  </r>
  <r>
    <n v="5"/>
    <x v="4"/>
    <x v="4"/>
    <x v="9"/>
    <x v="2"/>
    <x v="0"/>
    <x v="2"/>
    <n v="4"/>
    <n v="83353"/>
    <n v="333412"/>
    <n v="227465"/>
    <n v="105947"/>
    <n v="4"/>
  </r>
  <r>
    <n v="5"/>
    <x v="4"/>
    <x v="4"/>
    <x v="8"/>
    <x v="2"/>
    <x v="0"/>
    <x v="3"/>
    <n v="1"/>
    <n v="100578"/>
    <n v="100578"/>
    <n v="43099"/>
    <n v="57479"/>
    <n v="10"/>
  </r>
  <r>
    <n v="5"/>
    <x v="4"/>
    <x v="4"/>
    <x v="8"/>
    <x v="2"/>
    <x v="1"/>
    <x v="4"/>
    <n v="8"/>
    <n v="34270"/>
    <n v="274160"/>
    <n v="136986"/>
    <n v="137174"/>
    <n v="1"/>
  </r>
  <r>
    <n v="5"/>
    <x v="4"/>
    <x v="4"/>
    <x v="9"/>
    <x v="2"/>
    <x v="1"/>
    <x v="5"/>
    <n v="10"/>
    <n v="104995"/>
    <n v="1049950"/>
    <n v="467730"/>
    <n v="582220"/>
    <n v="8"/>
  </r>
  <r>
    <n v="5"/>
    <x v="4"/>
    <x v="4"/>
    <x v="9"/>
    <x v="2"/>
    <x v="1"/>
    <x v="6"/>
    <n v="17"/>
    <n v="26614"/>
    <n v="452438"/>
    <n v="187137"/>
    <n v="265301"/>
    <n v="3"/>
  </r>
  <r>
    <n v="5"/>
    <x v="4"/>
    <x v="4"/>
    <x v="9"/>
    <x v="2"/>
    <x v="1"/>
    <x v="7"/>
    <n v="13"/>
    <n v="36964"/>
    <n v="480532"/>
    <n v="248697"/>
    <n v="231835"/>
    <n v="4"/>
  </r>
  <r>
    <n v="5"/>
    <x v="4"/>
    <x v="4"/>
    <x v="9"/>
    <x v="2"/>
    <x v="2"/>
    <x v="8"/>
    <n v="9"/>
    <n v="69976"/>
    <n v="629784"/>
    <n v="363466"/>
    <n v="266318"/>
    <n v="11"/>
  </r>
  <r>
    <n v="5"/>
    <x v="4"/>
    <x v="4"/>
    <x v="9"/>
    <x v="2"/>
    <x v="2"/>
    <x v="9"/>
    <n v="6"/>
    <n v="54148"/>
    <n v="324888"/>
    <n v="200435"/>
    <n v="124453"/>
    <n v="7"/>
  </r>
  <r>
    <n v="5"/>
    <x v="4"/>
    <x v="4"/>
    <x v="9"/>
    <x v="2"/>
    <x v="2"/>
    <x v="10"/>
    <n v="7"/>
    <n v="132230"/>
    <n v="925610"/>
    <n v="454714"/>
    <n v="470896"/>
    <n v="12"/>
  </r>
  <r>
    <n v="5"/>
    <x v="4"/>
    <x v="4"/>
    <x v="9"/>
    <x v="2"/>
    <x v="2"/>
    <x v="11"/>
    <n v="3"/>
    <n v="77727"/>
    <n v="233181"/>
    <n v="93375"/>
    <n v="139806"/>
    <n v="14"/>
  </r>
  <r>
    <n v="5"/>
    <x v="4"/>
    <x v="4"/>
    <x v="8"/>
    <x v="2"/>
    <x v="3"/>
    <x v="12"/>
    <n v="4"/>
    <n v="17251"/>
    <n v="69004"/>
    <n v="34020"/>
    <n v="34984"/>
    <n v="2"/>
  </r>
  <r>
    <n v="5"/>
    <x v="4"/>
    <x v="4"/>
    <x v="8"/>
    <x v="2"/>
    <x v="3"/>
    <x v="13"/>
    <n v="4"/>
    <n v="15990"/>
    <n v="63960"/>
    <n v="33565"/>
    <n v="30395"/>
    <n v="12"/>
  </r>
  <r>
    <n v="5"/>
    <x v="4"/>
    <x v="4"/>
    <x v="8"/>
    <x v="2"/>
    <x v="3"/>
    <x v="14"/>
    <n v="18"/>
    <n v="16805"/>
    <n v="302490"/>
    <n v="150515"/>
    <n v="151975"/>
    <n v="8"/>
  </r>
  <r>
    <n v="5"/>
    <x v="4"/>
    <x v="4"/>
    <x v="8"/>
    <x v="2"/>
    <x v="3"/>
    <x v="15"/>
    <n v="16"/>
    <n v="18722"/>
    <n v="299552"/>
    <n v="144213"/>
    <n v="155339"/>
    <n v="8"/>
  </r>
  <r>
    <n v="5"/>
    <x v="4"/>
    <x v="4"/>
    <x v="9"/>
    <x v="2"/>
    <x v="4"/>
    <x v="16"/>
    <n v="16"/>
    <n v="121754"/>
    <n v="1948064"/>
    <n v="1363378"/>
    <n v="584686"/>
    <n v="3"/>
  </r>
  <r>
    <n v="5"/>
    <x v="4"/>
    <x v="4"/>
    <x v="8"/>
    <x v="2"/>
    <x v="4"/>
    <x v="17"/>
    <n v="7"/>
    <n v="146479"/>
    <n v="1025353"/>
    <n v="642152"/>
    <n v="383201"/>
    <n v="4"/>
  </r>
  <r>
    <n v="5"/>
    <x v="4"/>
    <x v="4"/>
    <x v="8"/>
    <x v="2"/>
    <x v="4"/>
    <x v="18"/>
    <n v="8"/>
    <n v="35088"/>
    <n v="280704"/>
    <n v="144339"/>
    <n v="136365"/>
    <n v="6"/>
  </r>
  <r>
    <n v="5"/>
    <x v="4"/>
    <x v="4"/>
    <x v="8"/>
    <x v="2"/>
    <x v="4"/>
    <x v="19"/>
    <n v="10"/>
    <n v="23273"/>
    <n v="232730"/>
    <n v="94535"/>
    <n v="138195"/>
    <n v="1"/>
  </r>
  <r>
    <n v="5"/>
    <x v="4"/>
    <x v="4"/>
    <x v="9"/>
    <x v="3"/>
    <x v="0"/>
    <x v="0"/>
    <n v="9"/>
    <n v="94704"/>
    <n v="852336"/>
    <n v="584418"/>
    <n v="267918"/>
    <n v="9"/>
  </r>
  <r>
    <n v="5"/>
    <x v="4"/>
    <x v="4"/>
    <x v="9"/>
    <x v="3"/>
    <x v="0"/>
    <x v="1"/>
    <n v="17"/>
    <n v="114019"/>
    <n v="1938323"/>
    <n v="1327291"/>
    <n v="611032"/>
    <n v="14"/>
  </r>
  <r>
    <n v="5"/>
    <x v="4"/>
    <x v="4"/>
    <x v="8"/>
    <x v="3"/>
    <x v="0"/>
    <x v="2"/>
    <n v="5"/>
    <n v="51845"/>
    <n v="259225"/>
    <n v="164405"/>
    <n v="94820"/>
    <n v="14"/>
  </r>
  <r>
    <n v="5"/>
    <x v="4"/>
    <x v="4"/>
    <x v="8"/>
    <x v="3"/>
    <x v="0"/>
    <x v="3"/>
    <n v="19"/>
    <n v="97603"/>
    <n v="1854457"/>
    <n v="1282776"/>
    <n v="571681"/>
    <n v="14"/>
  </r>
  <r>
    <n v="5"/>
    <x v="4"/>
    <x v="4"/>
    <x v="9"/>
    <x v="3"/>
    <x v="1"/>
    <x v="4"/>
    <n v="2"/>
    <n v="40583"/>
    <n v="81166"/>
    <n v="36854"/>
    <n v="44312"/>
    <n v="6"/>
  </r>
  <r>
    <n v="5"/>
    <x v="4"/>
    <x v="4"/>
    <x v="8"/>
    <x v="3"/>
    <x v="1"/>
    <x v="5"/>
    <n v="6"/>
    <n v="39456"/>
    <n v="236736"/>
    <n v="103361"/>
    <n v="133375"/>
    <n v="9"/>
  </r>
  <r>
    <n v="5"/>
    <x v="4"/>
    <x v="4"/>
    <x v="8"/>
    <x v="3"/>
    <x v="1"/>
    <x v="6"/>
    <n v="7"/>
    <n v="53276"/>
    <n v="372932"/>
    <n v="245578"/>
    <n v="127354"/>
    <n v="0"/>
  </r>
  <r>
    <n v="5"/>
    <x v="4"/>
    <x v="4"/>
    <x v="9"/>
    <x v="3"/>
    <x v="1"/>
    <x v="7"/>
    <n v="2"/>
    <n v="33050"/>
    <n v="66100"/>
    <n v="27469"/>
    <n v="38631"/>
    <n v="8"/>
  </r>
  <r>
    <n v="5"/>
    <x v="4"/>
    <x v="4"/>
    <x v="9"/>
    <x v="3"/>
    <x v="2"/>
    <x v="8"/>
    <n v="13"/>
    <n v="82021"/>
    <n v="1066273"/>
    <n v="533864"/>
    <n v="532409"/>
    <n v="3"/>
  </r>
  <r>
    <n v="5"/>
    <x v="4"/>
    <x v="4"/>
    <x v="8"/>
    <x v="3"/>
    <x v="2"/>
    <x v="9"/>
    <n v="3"/>
    <n v="56176"/>
    <n v="168528"/>
    <n v="102861"/>
    <n v="65667"/>
    <n v="11"/>
  </r>
  <r>
    <n v="5"/>
    <x v="4"/>
    <x v="4"/>
    <x v="8"/>
    <x v="3"/>
    <x v="2"/>
    <x v="10"/>
    <n v="16"/>
    <n v="20174"/>
    <n v="322784"/>
    <n v="171268"/>
    <n v="151516"/>
    <n v="0"/>
  </r>
  <r>
    <n v="5"/>
    <x v="4"/>
    <x v="4"/>
    <x v="8"/>
    <x v="3"/>
    <x v="2"/>
    <x v="11"/>
    <n v="17"/>
    <n v="125410"/>
    <n v="2131970"/>
    <n v="1161390"/>
    <n v="970580"/>
    <n v="3"/>
  </r>
  <r>
    <n v="5"/>
    <x v="4"/>
    <x v="4"/>
    <x v="8"/>
    <x v="3"/>
    <x v="3"/>
    <x v="12"/>
    <n v="4"/>
    <n v="11033"/>
    <n v="44132"/>
    <n v="17865"/>
    <n v="26267"/>
    <n v="10"/>
  </r>
  <r>
    <n v="5"/>
    <x v="4"/>
    <x v="4"/>
    <x v="9"/>
    <x v="3"/>
    <x v="3"/>
    <x v="13"/>
    <n v="3"/>
    <n v="7535"/>
    <n v="22605"/>
    <n v="14450"/>
    <n v="8155"/>
    <n v="0"/>
  </r>
  <r>
    <n v="5"/>
    <x v="4"/>
    <x v="4"/>
    <x v="8"/>
    <x v="3"/>
    <x v="3"/>
    <x v="14"/>
    <n v="14"/>
    <n v="9769"/>
    <n v="136766"/>
    <n v="72663"/>
    <n v="64103"/>
    <n v="3"/>
  </r>
  <r>
    <n v="5"/>
    <x v="4"/>
    <x v="4"/>
    <x v="8"/>
    <x v="3"/>
    <x v="3"/>
    <x v="15"/>
    <n v="19"/>
    <n v="9997"/>
    <n v="189943"/>
    <n v="107114"/>
    <n v="82829"/>
    <n v="0"/>
  </r>
  <r>
    <n v="5"/>
    <x v="4"/>
    <x v="4"/>
    <x v="9"/>
    <x v="3"/>
    <x v="4"/>
    <x v="16"/>
    <n v="8"/>
    <n v="30578"/>
    <n v="244624"/>
    <n v="129376"/>
    <n v="115248"/>
    <n v="4"/>
  </r>
  <r>
    <n v="5"/>
    <x v="4"/>
    <x v="4"/>
    <x v="8"/>
    <x v="3"/>
    <x v="4"/>
    <x v="17"/>
    <n v="16"/>
    <n v="20389"/>
    <n v="326224"/>
    <n v="142086"/>
    <n v="184138"/>
    <n v="13"/>
  </r>
  <r>
    <n v="5"/>
    <x v="4"/>
    <x v="4"/>
    <x v="8"/>
    <x v="3"/>
    <x v="4"/>
    <x v="18"/>
    <n v="3"/>
    <n v="78002"/>
    <n v="234006"/>
    <n v="121441"/>
    <n v="112565"/>
    <n v="10"/>
  </r>
  <r>
    <n v="5"/>
    <x v="4"/>
    <x v="4"/>
    <x v="9"/>
    <x v="3"/>
    <x v="4"/>
    <x v="19"/>
    <n v="11"/>
    <n v="21481"/>
    <n v="236291"/>
    <n v="151849"/>
    <n v="84442"/>
    <n v="14"/>
  </r>
  <r>
    <n v="5"/>
    <x v="4"/>
    <x v="4"/>
    <x v="9"/>
    <x v="4"/>
    <x v="0"/>
    <x v="0"/>
    <n v="4"/>
    <n v="145355"/>
    <n v="581420"/>
    <n v="283159"/>
    <n v="298261"/>
    <n v="7"/>
  </r>
  <r>
    <n v="5"/>
    <x v="4"/>
    <x v="4"/>
    <x v="9"/>
    <x v="4"/>
    <x v="0"/>
    <x v="1"/>
    <n v="19"/>
    <n v="106328"/>
    <n v="2020232"/>
    <n v="1290937"/>
    <n v="729295"/>
    <n v="6"/>
  </r>
  <r>
    <n v="5"/>
    <x v="4"/>
    <x v="4"/>
    <x v="8"/>
    <x v="4"/>
    <x v="0"/>
    <x v="2"/>
    <n v="14"/>
    <n v="134615"/>
    <n v="1884610"/>
    <n v="1282645"/>
    <n v="601965"/>
    <n v="1"/>
  </r>
  <r>
    <n v="5"/>
    <x v="4"/>
    <x v="4"/>
    <x v="9"/>
    <x v="4"/>
    <x v="0"/>
    <x v="3"/>
    <n v="16"/>
    <n v="31254"/>
    <n v="500064"/>
    <n v="335956"/>
    <n v="164108"/>
    <n v="1"/>
  </r>
  <r>
    <n v="5"/>
    <x v="4"/>
    <x v="4"/>
    <x v="9"/>
    <x v="4"/>
    <x v="1"/>
    <x v="4"/>
    <n v="16"/>
    <n v="36199"/>
    <n v="579184"/>
    <n v="240680"/>
    <n v="338504"/>
    <n v="0"/>
  </r>
  <r>
    <n v="5"/>
    <x v="4"/>
    <x v="4"/>
    <x v="9"/>
    <x v="4"/>
    <x v="1"/>
    <x v="5"/>
    <n v="12"/>
    <n v="39581"/>
    <n v="474972"/>
    <n v="245657"/>
    <n v="229315"/>
    <n v="4"/>
  </r>
  <r>
    <n v="5"/>
    <x v="4"/>
    <x v="4"/>
    <x v="9"/>
    <x v="4"/>
    <x v="1"/>
    <x v="6"/>
    <n v="12"/>
    <n v="86960"/>
    <n v="1043520"/>
    <n v="710113"/>
    <n v="333407"/>
    <n v="4"/>
  </r>
  <r>
    <n v="5"/>
    <x v="4"/>
    <x v="4"/>
    <x v="8"/>
    <x v="4"/>
    <x v="1"/>
    <x v="7"/>
    <n v="14"/>
    <n v="43620"/>
    <n v="610680"/>
    <n v="256794"/>
    <n v="353886"/>
    <n v="10"/>
  </r>
  <r>
    <n v="5"/>
    <x v="4"/>
    <x v="4"/>
    <x v="8"/>
    <x v="4"/>
    <x v="2"/>
    <x v="8"/>
    <n v="1"/>
    <n v="115549"/>
    <n v="115549"/>
    <n v="49128"/>
    <n v="66421"/>
    <n v="8"/>
  </r>
  <r>
    <n v="5"/>
    <x v="4"/>
    <x v="4"/>
    <x v="9"/>
    <x v="4"/>
    <x v="2"/>
    <x v="9"/>
    <n v="19"/>
    <n v="106741"/>
    <n v="2028079"/>
    <n v="1013505"/>
    <n v="1014574"/>
    <n v="1"/>
  </r>
  <r>
    <n v="5"/>
    <x v="4"/>
    <x v="4"/>
    <x v="8"/>
    <x v="4"/>
    <x v="2"/>
    <x v="10"/>
    <n v="15"/>
    <n v="27846"/>
    <n v="417690"/>
    <n v="285422"/>
    <n v="132268"/>
    <n v="12"/>
  </r>
  <r>
    <n v="5"/>
    <x v="4"/>
    <x v="4"/>
    <x v="8"/>
    <x v="4"/>
    <x v="2"/>
    <x v="11"/>
    <n v="7"/>
    <n v="101486"/>
    <n v="710402"/>
    <n v="308923"/>
    <n v="401479"/>
    <n v="6"/>
  </r>
  <r>
    <n v="5"/>
    <x v="4"/>
    <x v="4"/>
    <x v="9"/>
    <x v="4"/>
    <x v="3"/>
    <x v="12"/>
    <n v="19"/>
    <n v="13319"/>
    <n v="253061"/>
    <n v="158234"/>
    <n v="94827"/>
    <n v="7"/>
  </r>
  <r>
    <n v="5"/>
    <x v="4"/>
    <x v="4"/>
    <x v="9"/>
    <x v="4"/>
    <x v="3"/>
    <x v="13"/>
    <n v="18"/>
    <n v="7761"/>
    <n v="139698"/>
    <n v="94215"/>
    <n v="45483"/>
    <n v="7"/>
  </r>
  <r>
    <n v="5"/>
    <x v="4"/>
    <x v="4"/>
    <x v="9"/>
    <x v="4"/>
    <x v="3"/>
    <x v="14"/>
    <n v="10"/>
    <n v="11160"/>
    <n v="111600"/>
    <n v="48092"/>
    <n v="63508"/>
    <n v="9"/>
  </r>
  <r>
    <n v="5"/>
    <x v="4"/>
    <x v="4"/>
    <x v="9"/>
    <x v="4"/>
    <x v="3"/>
    <x v="15"/>
    <n v="5"/>
    <n v="18723"/>
    <n v="93615"/>
    <n v="48780"/>
    <n v="44835"/>
    <n v="4"/>
  </r>
  <r>
    <n v="5"/>
    <x v="4"/>
    <x v="4"/>
    <x v="8"/>
    <x v="4"/>
    <x v="4"/>
    <x v="16"/>
    <n v="18"/>
    <n v="130041"/>
    <n v="2340738"/>
    <n v="1345116"/>
    <n v="995622"/>
    <n v="0"/>
  </r>
  <r>
    <n v="5"/>
    <x v="4"/>
    <x v="4"/>
    <x v="8"/>
    <x v="4"/>
    <x v="4"/>
    <x v="17"/>
    <n v="17"/>
    <n v="146155"/>
    <n v="2484635"/>
    <n v="1049044"/>
    <n v="1435591"/>
    <n v="2"/>
  </r>
  <r>
    <n v="5"/>
    <x v="4"/>
    <x v="4"/>
    <x v="9"/>
    <x v="4"/>
    <x v="4"/>
    <x v="18"/>
    <n v="10"/>
    <n v="42625"/>
    <n v="426250"/>
    <n v="232268"/>
    <n v="193982"/>
    <n v="1"/>
  </r>
  <r>
    <n v="5"/>
    <x v="4"/>
    <x v="4"/>
    <x v="9"/>
    <x v="4"/>
    <x v="4"/>
    <x v="19"/>
    <n v="10"/>
    <n v="108229"/>
    <n v="1082290"/>
    <n v="747387"/>
    <n v="334903"/>
    <n v="10"/>
  </r>
  <r>
    <n v="5"/>
    <x v="4"/>
    <x v="4"/>
    <x v="9"/>
    <x v="5"/>
    <x v="0"/>
    <x v="0"/>
    <n v="7"/>
    <n v="114426"/>
    <n v="800982"/>
    <n v="338555"/>
    <n v="462427"/>
    <n v="5"/>
  </r>
  <r>
    <n v="5"/>
    <x v="4"/>
    <x v="4"/>
    <x v="9"/>
    <x v="5"/>
    <x v="0"/>
    <x v="1"/>
    <n v="9"/>
    <n v="131541"/>
    <n v="1183869"/>
    <n v="720667"/>
    <n v="463202"/>
    <n v="2"/>
  </r>
  <r>
    <n v="5"/>
    <x v="4"/>
    <x v="4"/>
    <x v="8"/>
    <x v="5"/>
    <x v="0"/>
    <x v="2"/>
    <n v="3"/>
    <n v="46990"/>
    <n v="140970"/>
    <n v="79790"/>
    <n v="61180"/>
    <n v="4"/>
  </r>
  <r>
    <n v="5"/>
    <x v="4"/>
    <x v="4"/>
    <x v="9"/>
    <x v="5"/>
    <x v="0"/>
    <x v="3"/>
    <n v="2"/>
    <n v="133557"/>
    <n v="267114"/>
    <n v="184176"/>
    <n v="82938"/>
    <n v="14"/>
  </r>
  <r>
    <n v="5"/>
    <x v="4"/>
    <x v="4"/>
    <x v="9"/>
    <x v="5"/>
    <x v="1"/>
    <x v="4"/>
    <n v="10"/>
    <n v="32360"/>
    <n v="323600"/>
    <n v="198039"/>
    <n v="125561"/>
    <n v="5"/>
  </r>
  <r>
    <n v="5"/>
    <x v="4"/>
    <x v="4"/>
    <x v="9"/>
    <x v="5"/>
    <x v="1"/>
    <x v="5"/>
    <n v="9"/>
    <n v="148442"/>
    <n v="1335978"/>
    <n v="643044"/>
    <n v="692934"/>
    <n v="11"/>
  </r>
  <r>
    <n v="5"/>
    <x v="4"/>
    <x v="4"/>
    <x v="9"/>
    <x v="5"/>
    <x v="1"/>
    <x v="6"/>
    <n v="2"/>
    <n v="49084"/>
    <n v="98168"/>
    <n v="44393"/>
    <n v="53775"/>
    <n v="2"/>
  </r>
  <r>
    <n v="5"/>
    <x v="4"/>
    <x v="4"/>
    <x v="9"/>
    <x v="5"/>
    <x v="1"/>
    <x v="7"/>
    <n v="10"/>
    <n v="82260"/>
    <n v="822600"/>
    <n v="562182"/>
    <n v="260418"/>
    <n v="5"/>
  </r>
  <r>
    <n v="5"/>
    <x v="4"/>
    <x v="4"/>
    <x v="9"/>
    <x v="5"/>
    <x v="2"/>
    <x v="8"/>
    <n v="19"/>
    <n v="143439"/>
    <n v="2725341"/>
    <n v="1095599"/>
    <n v="1629742"/>
    <n v="7"/>
  </r>
  <r>
    <n v="5"/>
    <x v="4"/>
    <x v="4"/>
    <x v="9"/>
    <x v="5"/>
    <x v="2"/>
    <x v="9"/>
    <n v="4"/>
    <n v="143489"/>
    <n v="573956"/>
    <n v="293903"/>
    <n v="280053"/>
    <n v="12"/>
  </r>
  <r>
    <n v="5"/>
    <x v="4"/>
    <x v="4"/>
    <x v="9"/>
    <x v="5"/>
    <x v="2"/>
    <x v="10"/>
    <n v="1"/>
    <n v="80272"/>
    <n v="80272"/>
    <n v="41394"/>
    <n v="38878"/>
    <n v="6"/>
  </r>
  <r>
    <n v="5"/>
    <x v="4"/>
    <x v="4"/>
    <x v="8"/>
    <x v="5"/>
    <x v="2"/>
    <x v="11"/>
    <n v="17"/>
    <n v="141992"/>
    <n v="2413864"/>
    <n v="1291601"/>
    <n v="1122263"/>
    <n v="0"/>
  </r>
  <r>
    <n v="5"/>
    <x v="4"/>
    <x v="4"/>
    <x v="9"/>
    <x v="5"/>
    <x v="3"/>
    <x v="12"/>
    <n v="10"/>
    <n v="16683"/>
    <n v="166830"/>
    <n v="103053"/>
    <n v="63777"/>
    <n v="13"/>
  </r>
  <r>
    <n v="5"/>
    <x v="4"/>
    <x v="4"/>
    <x v="9"/>
    <x v="5"/>
    <x v="3"/>
    <x v="13"/>
    <n v="10"/>
    <n v="12071"/>
    <n v="120710"/>
    <n v="72635"/>
    <n v="48075"/>
    <n v="5"/>
  </r>
  <r>
    <n v="5"/>
    <x v="4"/>
    <x v="4"/>
    <x v="8"/>
    <x v="5"/>
    <x v="3"/>
    <x v="14"/>
    <n v="17"/>
    <n v="9937"/>
    <n v="168929"/>
    <n v="67993"/>
    <n v="100936"/>
    <n v="5"/>
  </r>
  <r>
    <n v="5"/>
    <x v="4"/>
    <x v="4"/>
    <x v="8"/>
    <x v="5"/>
    <x v="3"/>
    <x v="15"/>
    <n v="18"/>
    <n v="8490"/>
    <n v="152820"/>
    <n v="101933"/>
    <n v="50887"/>
    <n v="4"/>
  </r>
  <r>
    <n v="5"/>
    <x v="4"/>
    <x v="4"/>
    <x v="8"/>
    <x v="5"/>
    <x v="4"/>
    <x v="16"/>
    <n v="15"/>
    <n v="80686"/>
    <n v="1210290"/>
    <n v="780849"/>
    <n v="429441"/>
    <n v="10"/>
  </r>
  <r>
    <n v="5"/>
    <x v="4"/>
    <x v="4"/>
    <x v="8"/>
    <x v="5"/>
    <x v="4"/>
    <x v="17"/>
    <n v="9"/>
    <n v="110009"/>
    <n v="990081"/>
    <n v="691946"/>
    <n v="298135"/>
    <n v="11"/>
  </r>
  <r>
    <n v="5"/>
    <x v="4"/>
    <x v="4"/>
    <x v="9"/>
    <x v="5"/>
    <x v="4"/>
    <x v="18"/>
    <n v="17"/>
    <n v="24138"/>
    <n v="410346"/>
    <n v="242640"/>
    <n v="167706"/>
    <n v="9"/>
  </r>
  <r>
    <n v="5"/>
    <x v="4"/>
    <x v="4"/>
    <x v="9"/>
    <x v="5"/>
    <x v="4"/>
    <x v="19"/>
    <n v="18"/>
    <n v="30451"/>
    <n v="548118"/>
    <n v="252796"/>
    <n v="295322"/>
    <n v="6"/>
  </r>
  <r>
    <n v="5"/>
    <x v="4"/>
    <x v="4"/>
    <x v="8"/>
    <x v="6"/>
    <x v="0"/>
    <x v="0"/>
    <n v="17"/>
    <n v="63764"/>
    <n v="1083988"/>
    <n v="718945"/>
    <n v="365043"/>
    <n v="3"/>
  </r>
  <r>
    <n v="5"/>
    <x v="4"/>
    <x v="4"/>
    <x v="9"/>
    <x v="6"/>
    <x v="0"/>
    <x v="1"/>
    <n v="15"/>
    <n v="123423"/>
    <n v="1851345"/>
    <n v="878487"/>
    <n v="972858"/>
    <n v="8"/>
  </r>
  <r>
    <n v="5"/>
    <x v="4"/>
    <x v="4"/>
    <x v="9"/>
    <x v="6"/>
    <x v="0"/>
    <x v="2"/>
    <n v="14"/>
    <n v="122468"/>
    <n v="1714552"/>
    <n v="725501"/>
    <n v="989051"/>
    <n v="1"/>
  </r>
  <r>
    <n v="5"/>
    <x v="4"/>
    <x v="4"/>
    <x v="9"/>
    <x v="6"/>
    <x v="0"/>
    <x v="3"/>
    <n v="8"/>
    <n v="30442"/>
    <n v="243536"/>
    <n v="130944"/>
    <n v="112592"/>
    <n v="2"/>
  </r>
  <r>
    <n v="5"/>
    <x v="4"/>
    <x v="4"/>
    <x v="8"/>
    <x v="6"/>
    <x v="1"/>
    <x v="4"/>
    <n v="1"/>
    <n v="106346"/>
    <n v="106346"/>
    <n v="61514"/>
    <n v="44832"/>
    <n v="13"/>
  </r>
  <r>
    <n v="5"/>
    <x v="4"/>
    <x v="4"/>
    <x v="9"/>
    <x v="6"/>
    <x v="1"/>
    <x v="5"/>
    <n v="16"/>
    <n v="136214"/>
    <n v="2179424"/>
    <n v="1419998"/>
    <n v="759426"/>
    <n v="5"/>
  </r>
  <r>
    <n v="5"/>
    <x v="4"/>
    <x v="4"/>
    <x v="8"/>
    <x v="6"/>
    <x v="1"/>
    <x v="6"/>
    <n v="19"/>
    <n v="25283"/>
    <n v="480377"/>
    <n v="326566"/>
    <n v="153811"/>
    <n v="12"/>
  </r>
  <r>
    <n v="5"/>
    <x v="4"/>
    <x v="4"/>
    <x v="9"/>
    <x v="6"/>
    <x v="1"/>
    <x v="7"/>
    <n v="14"/>
    <n v="96162"/>
    <n v="1346268"/>
    <n v="787614"/>
    <n v="558654"/>
    <n v="0"/>
  </r>
  <r>
    <n v="5"/>
    <x v="4"/>
    <x v="4"/>
    <x v="9"/>
    <x v="6"/>
    <x v="2"/>
    <x v="8"/>
    <n v="14"/>
    <n v="116007"/>
    <n v="1624098"/>
    <n v="682994"/>
    <n v="941104"/>
    <n v="9"/>
  </r>
  <r>
    <n v="5"/>
    <x v="4"/>
    <x v="4"/>
    <x v="8"/>
    <x v="6"/>
    <x v="2"/>
    <x v="9"/>
    <n v="17"/>
    <n v="109160"/>
    <n v="1855720"/>
    <n v="857092"/>
    <n v="998628"/>
    <n v="10"/>
  </r>
  <r>
    <n v="5"/>
    <x v="4"/>
    <x v="4"/>
    <x v="9"/>
    <x v="6"/>
    <x v="2"/>
    <x v="10"/>
    <n v="7"/>
    <n v="123792"/>
    <n v="866544"/>
    <n v="571536"/>
    <n v="295008"/>
    <n v="0"/>
  </r>
  <r>
    <n v="5"/>
    <x v="4"/>
    <x v="4"/>
    <x v="8"/>
    <x v="6"/>
    <x v="2"/>
    <x v="11"/>
    <n v="5"/>
    <n v="106664"/>
    <n v="533320"/>
    <n v="218929"/>
    <n v="314391"/>
    <n v="10"/>
  </r>
  <r>
    <n v="5"/>
    <x v="4"/>
    <x v="4"/>
    <x v="8"/>
    <x v="6"/>
    <x v="3"/>
    <x v="12"/>
    <n v="2"/>
    <n v="13636"/>
    <n v="27272"/>
    <n v="18057"/>
    <n v="9215"/>
    <n v="10"/>
  </r>
  <r>
    <n v="5"/>
    <x v="4"/>
    <x v="4"/>
    <x v="8"/>
    <x v="6"/>
    <x v="3"/>
    <x v="13"/>
    <n v="6"/>
    <n v="7041"/>
    <n v="42246"/>
    <n v="23228"/>
    <n v="19018"/>
    <n v="1"/>
  </r>
  <r>
    <n v="5"/>
    <x v="4"/>
    <x v="4"/>
    <x v="8"/>
    <x v="6"/>
    <x v="3"/>
    <x v="14"/>
    <n v="11"/>
    <n v="10668"/>
    <n v="117348"/>
    <n v="74539"/>
    <n v="42809"/>
    <n v="1"/>
  </r>
  <r>
    <n v="5"/>
    <x v="4"/>
    <x v="4"/>
    <x v="9"/>
    <x v="6"/>
    <x v="3"/>
    <x v="15"/>
    <n v="2"/>
    <n v="5062"/>
    <n v="10124"/>
    <n v="4937"/>
    <n v="5187"/>
    <n v="10"/>
  </r>
  <r>
    <n v="5"/>
    <x v="4"/>
    <x v="4"/>
    <x v="9"/>
    <x v="6"/>
    <x v="4"/>
    <x v="16"/>
    <n v="13"/>
    <n v="108835"/>
    <n v="1414855"/>
    <n v="816470"/>
    <n v="598385"/>
    <n v="6"/>
  </r>
  <r>
    <n v="5"/>
    <x v="4"/>
    <x v="4"/>
    <x v="9"/>
    <x v="6"/>
    <x v="4"/>
    <x v="17"/>
    <n v="11"/>
    <n v="49493"/>
    <n v="544423"/>
    <n v="222393"/>
    <n v="322030"/>
    <n v="11"/>
  </r>
  <r>
    <n v="5"/>
    <x v="4"/>
    <x v="4"/>
    <x v="8"/>
    <x v="6"/>
    <x v="4"/>
    <x v="18"/>
    <n v="15"/>
    <n v="27296"/>
    <n v="409440"/>
    <n v="257673"/>
    <n v="151767"/>
    <n v="13"/>
  </r>
  <r>
    <n v="5"/>
    <x v="4"/>
    <x v="4"/>
    <x v="8"/>
    <x v="6"/>
    <x v="4"/>
    <x v="19"/>
    <n v="6"/>
    <n v="115985"/>
    <n v="695910"/>
    <n v="363705"/>
    <n v="332205"/>
    <n v="5"/>
  </r>
  <r>
    <n v="5"/>
    <x v="4"/>
    <x v="4"/>
    <x v="8"/>
    <x v="7"/>
    <x v="0"/>
    <x v="0"/>
    <n v="6"/>
    <n v="33652"/>
    <n v="201912"/>
    <n v="90484"/>
    <n v="111428"/>
    <n v="4"/>
  </r>
  <r>
    <n v="5"/>
    <x v="4"/>
    <x v="4"/>
    <x v="8"/>
    <x v="7"/>
    <x v="0"/>
    <x v="1"/>
    <n v="17"/>
    <n v="55529"/>
    <n v="943993"/>
    <n v="644520"/>
    <n v="299473"/>
    <n v="1"/>
  </r>
  <r>
    <n v="5"/>
    <x v="4"/>
    <x v="4"/>
    <x v="8"/>
    <x v="7"/>
    <x v="0"/>
    <x v="2"/>
    <n v="7"/>
    <n v="84450"/>
    <n v="591150"/>
    <n v="380841"/>
    <n v="210309"/>
    <n v="3"/>
  </r>
  <r>
    <n v="5"/>
    <x v="4"/>
    <x v="4"/>
    <x v="9"/>
    <x v="7"/>
    <x v="0"/>
    <x v="3"/>
    <n v="19"/>
    <n v="102722"/>
    <n v="1951718"/>
    <n v="1252521"/>
    <n v="699197"/>
    <n v="0"/>
  </r>
  <r>
    <n v="5"/>
    <x v="4"/>
    <x v="4"/>
    <x v="8"/>
    <x v="7"/>
    <x v="1"/>
    <x v="4"/>
    <n v="4"/>
    <n v="22187"/>
    <n v="88748"/>
    <n v="42154"/>
    <n v="46594"/>
    <n v="7"/>
  </r>
  <r>
    <n v="5"/>
    <x v="4"/>
    <x v="4"/>
    <x v="9"/>
    <x v="7"/>
    <x v="1"/>
    <x v="5"/>
    <n v="10"/>
    <n v="23606"/>
    <n v="236060"/>
    <n v="112474"/>
    <n v="123586"/>
    <n v="12"/>
  </r>
  <r>
    <n v="5"/>
    <x v="4"/>
    <x v="4"/>
    <x v="9"/>
    <x v="7"/>
    <x v="1"/>
    <x v="6"/>
    <n v="13"/>
    <n v="131926"/>
    <n v="1715038"/>
    <n v="797180"/>
    <n v="917858"/>
    <n v="6"/>
  </r>
  <r>
    <n v="5"/>
    <x v="4"/>
    <x v="4"/>
    <x v="9"/>
    <x v="7"/>
    <x v="1"/>
    <x v="7"/>
    <n v="5"/>
    <n v="111683"/>
    <n v="558415"/>
    <n v="329277"/>
    <n v="229138"/>
    <n v="0"/>
  </r>
  <r>
    <n v="5"/>
    <x v="4"/>
    <x v="4"/>
    <x v="8"/>
    <x v="7"/>
    <x v="2"/>
    <x v="8"/>
    <n v="10"/>
    <n v="81753"/>
    <n v="817530"/>
    <n v="557830"/>
    <n v="259700"/>
    <n v="0"/>
  </r>
  <r>
    <n v="5"/>
    <x v="4"/>
    <x v="4"/>
    <x v="8"/>
    <x v="7"/>
    <x v="2"/>
    <x v="9"/>
    <n v="17"/>
    <n v="144116"/>
    <n v="2449972"/>
    <n v="1644096"/>
    <n v="805876"/>
    <n v="5"/>
  </r>
  <r>
    <n v="5"/>
    <x v="4"/>
    <x v="4"/>
    <x v="9"/>
    <x v="7"/>
    <x v="2"/>
    <x v="10"/>
    <n v="19"/>
    <n v="79500"/>
    <n v="1510500"/>
    <n v="832194"/>
    <n v="678306"/>
    <n v="5"/>
  </r>
  <r>
    <n v="5"/>
    <x v="4"/>
    <x v="4"/>
    <x v="9"/>
    <x v="7"/>
    <x v="2"/>
    <x v="11"/>
    <n v="9"/>
    <n v="112789"/>
    <n v="1015101"/>
    <n v="647985"/>
    <n v="367116"/>
    <n v="6"/>
  </r>
  <r>
    <n v="5"/>
    <x v="4"/>
    <x v="4"/>
    <x v="8"/>
    <x v="7"/>
    <x v="3"/>
    <x v="12"/>
    <n v="17"/>
    <n v="11219"/>
    <n v="190723"/>
    <n v="125425"/>
    <n v="65298"/>
    <n v="2"/>
  </r>
  <r>
    <n v="5"/>
    <x v="4"/>
    <x v="4"/>
    <x v="8"/>
    <x v="7"/>
    <x v="3"/>
    <x v="13"/>
    <n v="9"/>
    <n v="18596"/>
    <n v="167364"/>
    <n v="90001"/>
    <n v="77363"/>
    <n v="6"/>
  </r>
  <r>
    <n v="5"/>
    <x v="4"/>
    <x v="4"/>
    <x v="8"/>
    <x v="7"/>
    <x v="3"/>
    <x v="14"/>
    <n v="13"/>
    <n v="11815"/>
    <n v="153595"/>
    <n v="93414"/>
    <n v="60181"/>
    <n v="14"/>
  </r>
  <r>
    <n v="5"/>
    <x v="4"/>
    <x v="4"/>
    <x v="9"/>
    <x v="7"/>
    <x v="3"/>
    <x v="15"/>
    <n v="16"/>
    <n v="11038"/>
    <n v="176608"/>
    <n v="93404"/>
    <n v="83204"/>
    <n v="6"/>
  </r>
  <r>
    <n v="5"/>
    <x v="4"/>
    <x v="4"/>
    <x v="9"/>
    <x v="7"/>
    <x v="4"/>
    <x v="16"/>
    <n v="8"/>
    <n v="135284"/>
    <n v="1082272"/>
    <n v="666270"/>
    <n v="416002"/>
    <n v="5"/>
  </r>
  <r>
    <n v="5"/>
    <x v="4"/>
    <x v="4"/>
    <x v="9"/>
    <x v="7"/>
    <x v="4"/>
    <x v="17"/>
    <n v="12"/>
    <n v="64049"/>
    <n v="768588"/>
    <n v="375867"/>
    <n v="392721"/>
    <n v="5"/>
  </r>
  <r>
    <n v="5"/>
    <x v="4"/>
    <x v="4"/>
    <x v="8"/>
    <x v="7"/>
    <x v="4"/>
    <x v="18"/>
    <n v="1"/>
    <n v="84925"/>
    <n v="84925"/>
    <n v="34457"/>
    <n v="50468"/>
    <n v="10"/>
  </r>
  <r>
    <n v="5"/>
    <x v="4"/>
    <x v="4"/>
    <x v="9"/>
    <x v="7"/>
    <x v="4"/>
    <x v="19"/>
    <n v="10"/>
    <n v="61458"/>
    <n v="614580"/>
    <n v="290365"/>
    <n v="324215"/>
    <n v="9"/>
  </r>
  <r>
    <n v="5"/>
    <x v="4"/>
    <x v="4"/>
    <x v="8"/>
    <x v="8"/>
    <x v="0"/>
    <x v="0"/>
    <n v="15"/>
    <n v="145947"/>
    <n v="2189205"/>
    <n v="1258011"/>
    <n v="931194"/>
    <n v="1"/>
  </r>
  <r>
    <n v="5"/>
    <x v="4"/>
    <x v="4"/>
    <x v="9"/>
    <x v="8"/>
    <x v="0"/>
    <x v="1"/>
    <n v="9"/>
    <n v="66313"/>
    <n v="596817"/>
    <n v="347541"/>
    <n v="249276"/>
    <n v="13"/>
  </r>
  <r>
    <n v="5"/>
    <x v="4"/>
    <x v="4"/>
    <x v="9"/>
    <x v="8"/>
    <x v="0"/>
    <x v="2"/>
    <n v="7"/>
    <n v="120598"/>
    <n v="844186"/>
    <n v="399400"/>
    <n v="444786"/>
    <n v="14"/>
  </r>
  <r>
    <n v="5"/>
    <x v="4"/>
    <x v="4"/>
    <x v="8"/>
    <x v="8"/>
    <x v="0"/>
    <x v="3"/>
    <n v="19"/>
    <n v="67221"/>
    <n v="1277199"/>
    <n v="595003"/>
    <n v="682196"/>
    <n v="11"/>
  </r>
  <r>
    <n v="5"/>
    <x v="4"/>
    <x v="4"/>
    <x v="8"/>
    <x v="8"/>
    <x v="1"/>
    <x v="4"/>
    <n v="8"/>
    <n v="63370"/>
    <n v="506960"/>
    <n v="287478"/>
    <n v="219482"/>
    <n v="14"/>
  </r>
  <r>
    <n v="5"/>
    <x v="4"/>
    <x v="4"/>
    <x v="8"/>
    <x v="8"/>
    <x v="1"/>
    <x v="5"/>
    <n v="1"/>
    <n v="104925"/>
    <n v="104925"/>
    <n v="69401"/>
    <n v="35524"/>
    <n v="2"/>
  </r>
  <r>
    <n v="5"/>
    <x v="4"/>
    <x v="4"/>
    <x v="9"/>
    <x v="8"/>
    <x v="1"/>
    <x v="6"/>
    <n v="10"/>
    <n v="148935"/>
    <n v="1489350"/>
    <n v="909462"/>
    <n v="579888"/>
    <n v="0"/>
  </r>
  <r>
    <n v="5"/>
    <x v="4"/>
    <x v="4"/>
    <x v="8"/>
    <x v="8"/>
    <x v="1"/>
    <x v="7"/>
    <n v="18"/>
    <n v="50049"/>
    <n v="900882"/>
    <n v="471690"/>
    <n v="429192"/>
    <n v="5"/>
  </r>
  <r>
    <n v="5"/>
    <x v="4"/>
    <x v="4"/>
    <x v="9"/>
    <x v="8"/>
    <x v="2"/>
    <x v="8"/>
    <n v="1"/>
    <n v="63937"/>
    <n v="63937"/>
    <n v="25999"/>
    <n v="37938"/>
    <n v="14"/>
  </r>
  <r>
    <n v="5"/>
    <x v="4"/>
    <x v="4"/>
    <x v="9"/>
    <x v="8"/>
    <x v="2"/>
    <x v="9"/>
    <n v="13"/>
    <n v="30799"/>
    <n v="400387"/>
    <n v="232901"/>
    <n v="167486"/>
    <n v="12"/>
  </r>
  <r>
    <n v="5"/>
    <x v="4"/>
    <x v="4"/>
    <x v="9"/>
    <x v="8"/>
    <x v="2"/>
    <x v="10"/>
    <n v="7"/>
    <n v="104607"/>
    <n v="732249"/>
    <n v="508276"/>
    <n v="223973"/>
    <n v="0"/>
  </r>
  <r>
    <n v="5"/>
    <x v="4"/>
    <x v="4"/>
    <x v="8"/>
    <x v="8"/>
    <x v="2"/>
    <x v="11"/>
    <n v="7"/>
    <n v="140076"/>
    <n v="980532"/>
    <n v="507481"/>
    <n v="473051"/>
    <n v="0"/>
  </r>
  <r>
    <n v="5"/>
    <x v="4"/>
    <x v="4"/>
    <x v="8"/>
    <x v="8"/>
    <x v="3"/>
    <x v="12"/>
    <n v="3"/>
    <n v="10126"/>
    <n v="30378"/>
    <n v="19195"/>
    <n v="11183"/>
    <n v="6"/>
  </r>
  <r>
    <n v="5"/>
    <x v="4"/>
    <x v="4"/>
    <x v="9"/>
    <x v="8"/>
    <x v="3"/>
    <x v="13"/>
    <n v="1"/>
    <n v="6776"/>
    <n v="6776"/>
    <n v="3953"/>
    <n v="2823"/>
    <n v="10"/>
  </r>
  <r>
    <n v="5"/>
    <x v="4"/>
    <x v="4"/>
    <x v="9"/>
    <x v="8"/>
    <x v="3"/>
    <x v="14"/>
    <n v="3"/>
    <n v="12374"/>
    <n v="37122"/>
    <n v="24711"/>
    <n v="12411"/>
    <n v="10"/>
  </r>
  <r>
    <n v="5"/>
    <x v="4"/>
    <x v="4"/>
    <x v="9"/>
    <x v="8"/>
    <x v="3"/>
    <x v="15"/>
    <n v="16"/>
    <n v="19360"/>
    <n v="309760"/>
    <n v="191863"/>
    <n v="117897"/>
    <n v="8"/>
  </r>
  <r>
    <n v="5"/>
    <x v="4"/>
    <x v="4"/>
    <x v="9"/>
    <x v="8"/>
    <x v="4"/>
    <x v="16"/>
    <n v="1"/>
    <n v="141948"/>
    <n v="141948"/>
    <n v="91757"/>
    <n v="50191"/>
    <n v="8"/>
  </r>
  <r>
    <n v="5"/>
    <x v="4"/>
    <x v="4"/>
    <x v="8"/>
    <x v="8"/>
    <x v="4"/>
    <x v="17"/>
    <n v="19"/>
    <n v="45963"/>
    <n v="873297"/>
    <n v="436725"/>
    <n v="436572"/>
    <n v="8"/>
  </r>
  <r>
    <n v="5"/>
    <x v="4"/>
    <x v="4"/>
    <x v="9"/>
    <x v="8"/>
    <x v="4"/>
    <x v="18"/>
    <n v="7"/>
    <n v="20717"/>
    <n v="145019"/>
    <n v="80219"/>
    <n v="64800"/>
    <n v="2"/>
  </r>
  <r>
    <n v="5"/>
    <x v="4"/>
    <x v="4"/>
    <x v="8"/>
    <x v="8"/>
    <x v="4"/>
    <x v="19"/>
    <n v="2"/>
    <n v="138696"/>
    <n v="277392"/>
    <n v="184401"/>
    <n v="92991"/>
    <n v="2"/>
  </r>
  <r>
    <n v="5"/>
    <x v="4"/>
    <x v="4"/>
    <x v="9"/>
    <x v="9"/>
    <x v="0"/>
    <x v="0"/>
    <n v="11"/>
    <n v="89300"/>
    <n v="982300"/>
    <n v="513666"/>
    <n v="468634"/>
    <n v="8"/>
  </r>
  <r>
    <n v="5"/>
    <x v="4"/>
    <x v="4"/>
    <x v="8"/>
    <x v="9"/>
    <x v="0"/>
    <x v="1"/>
    <n v="8"/>
    <n v="43185"/>
    <n v="345480"/>
    <n v="231655"/>
    <n v="113825"/>
    <n v="1"/>
  </r>
  <r>
    <n v="5"/>
    <x v="4"/>
    <x v="4"/>
    <x v="8"/>
    <x v="9"/>
    <x v="0"/>
    <x v="2"/>
    <n v="8"/>
    <n v="22581"/>
    <n v="180648"/>
    <n v="98232"/>
    <n v="82416"/>
    <n v="14"/>
  </r>
  <r>
    <n v="5"/>
    <x v="4"/>
    <x v="4"/>
    <x v="9"/>
    <x v="9"/>
    <x v="0"/>
    <x v="3"/>
    <n v="8"/>
    <n v="96067"/>
    <n v="768536"/>
    <n v="502913"/>
    <n v="265623"/>
    <n v="3"/>
  </r>
  <r>
    <n v="5"/>
    <x v="4"/>
    <x v="4"/>
    <x v="8"/>
    <x v="9"/>
    <x v="1"/>
    <x v="4"/>
    <n v="17"/>
    <n v="57548"/>
    <n v="978316"/>
    <n v="523539"/>
    <n v="454777"/>
    <n v="12"/>
  </r>
  <r>
    <n v="5"/>
    <x v="4"/>
    <x v="4"/>
    <x v="8"/>
    <x v="9"/>
    <x v="1"/>
    <x v="5"/>
    <n v="13"/>
    <n v="110101"/>
    <n v="1431313"/>
    <n v="758655"/>
    <n v="672658"/>
    <n v="12"/>
  </r>
  <r>
    <n v="5"/>
    <x v="4"/>
    <x v="4"/>
    <x v="9"/>
    <x v="9"/>
    <x v="1"/>
    <x v="6"/>
    <n v="10"/>
    <n v="130300"/>
    <n v="1303000"/>
    <n v="695692"/>
    <n v="607308"/>
    <n v="2"/>
  </r>
  <r>
    <n v="5"/>
    <x v="4"/>
    <x v="4"/>
    <x v="8"/>
    <x v="9"/>
    <x v="1"/>
    <x v="7"/>
    <n v="14"/>
    <n v="42335"/>
    <n v="592690"/>
    <n v="345255"/>
    <n v="247435"/>
    <n v="6"/>
  </r>
  <r>
    <n v="5"/>
    <x v="4"/>
    <x v="4"/>
    <x v="9"/>
    <x v="9"/>
    <x v="2"/>
    <x v="8"/>
    <n v="4"/>
    <n v="42010"/>
    <n v="168040"/>
    <n v="85842"/>
    <n v="82198"/>
    <n v="10"/>
  </r>
  <r>
    <n v="5"/>
    <x v="4"/>
    <x v="4"/>
    <x v="9"/>
    <x v="9"/>
    <x v="2"/>
    <x v="9"/>
    <n v="11"/>
    <n v="140927"/>
    <n v="1550197"/>
    <n v="623968"/>
    <n v="926229"/>
    <n v="10"/>
  </r>
  <r>
    <n v="5"/>
    <x v="4"/>
    <x v="4"/>
    <x v="8"/>
    <x v="9"/>
    <x v="2"/>
    <x v="10"/>
    <n v="2"/>
    <n v="29277"/>
    <n v="58554"/>
    <n v="38218"/>
    <n v="20336"/>
    <n v="8"/>
  </r>
  <r>
    <n v="5"/>
    <x v="4"/>
    <x v="4"/>
    <x v="9"/>
    <x v="9"/>
    <x v="2"/>
    <x v="11"/>
    <n v="2"/>
    <n v="75612"/>
    <n v="151224"/>
    <n v="65193"/>
    <n v="86031"/>
    <n v="8"/>
  </r>
  <r>
    <n v="5"/>
    <x v="4"/>
    <x v="4"/>
    <x v="9"/>
    <x v="9"/>
    <x v="3"/>
    <x v="12"/>
    <n v="4"/>
    <n v="10255"/>
    <n v="41020"/>
    <n v="21651"/>
    <n v="19369"/>
    <n v="9"/>
  </r>
  <r>
    <n v="5"/>
    <x v="4"/>
    <x v="4"/>
    <x v="9"/>
    <x v="9"/>
    <x v="3"/>
    <x v="13"/>
    <n v="5"/>
    <n v="8439"/>
    <n v="42195"/>
    <n v="26393"/>
    <n v="15802"/>
    <n v="6"/>
  </r>
  <r>
    <n v="5"/>
    <x v="4"/>
    <x v="4"/>
    <x v="8"/>
    <x v="9"/>
    <x v="3"/>
    <x v="14"/>
    <n v="17"/>
    <n v="16618"/>
    <n v="282506"/>
    <n v="169884"/>
    <n v="112622"/>
    <n v="11"/>
  </r>
  <r>
    <n v="5"/>
    <x v="4"/>
    <x v="4"/>
    <x v="8"/>
    <x v="9"/>
    <x v="3"/>
    <x v="15"/>
    <n v="7"/>
    <n v="8163"/>
    <n v="57141"/>
    <n v="26198"/>
    <n v="30943"/>
    <n v="11"/>
  </r>
  <r>
    <n v="5"/>
    <x v="4"/>
    <x v="4"/>
    <x v="9"/>
    <x v="9"/>
    <x v="4"/>
    <x v="16"/>
    <n v="6"/>
    <n v="55740"/>
    <n v="334440"/>
    <n v="149696"/>
    <n v="184744"/>
    <n v="6"/>
  </r>
  <r>
    <n v="5"/>
    <x v="4"/>
    <x v="4"/>
    <x v="8"/>
    <x v="9"/>
    <x v="4"/>
    <x v="17"/>
    <n v="3"/>
    <n v="136500"/>
    <n v="409500"/>
    <n v="244160"/>
    <n v="165340"/>
    <n v="3"/>
  </r>
  <r>
    <n v="5"/>
    <x v="4"/>
    <x v="4"/>
    <x v="8"/>
    <x v="9"/>
    <x v="4"/>
    <x v="18"/>
    <n v="10"/>
    <n v="64516"/>
    <n v="645160"/>
    <n v="362898"/>
    <n v="282262"/>
    <n v="13"/>
  </r>
  <r>
    <n v="5"/>
    <x v="4"/>
    <x v="4"/>
    <x v="9"/>
    <x v="9"/>
    <x v="4"/>
    <x v="19"/>
    <n v="10"/>
    <n v="104811"/>
    <n v="1048110"/>
    <n v="568260"/>
    <n v="479850"/>
    <n v="12"/>
  </r>
  <r>
    <n v="5"/>
    <x v="4"/>
    <x v="4"/>
    <x v="8"/>
    <x v="10"/>
    <x v="0"/>
    <x v="0"/>
    <n v="11"/>
    <n v="52821"/>
    <n v="581031"/>
    <n v="299732"/>
    <n v="281299"/>
    <n v="7"/>
  </r>
  <r>
    <n v="5"/>
    <x v="4"/>
    <x v="4"/>
    <x v="9"/>
    <x v="10"/>
    <x v="0"/>
    <x v="1"/>
    <n v="8"/>
    <n v="60172"/>
    <n v="481376"/>
    <n v="223586"/>
    <n v="257790"/>
    <n v="13"/>
  </r>
  <r>
    <n v="5"/>
    <x v="4"/>
    <x v="4"/>
    <x v="9"/>
    <x v="10"/>
    <x v="0"/>
    <x v="2"/>
    <n v="12"/>
    <n v="61609"/>
    <n v="739308"/>
    <n v="408185"/>
    <n v="331123"/>
    <n v="14"/>
  </r>
  <r>
    <n v="5"/>
    <x v="4"/>
    <x v="4"/>
    <x v="8"/>
    <x v="10"/>
    <x v="0"/>
    <x v="3"/>
    <n v="16"/>
    <n v="47216"/>
    <n v="755456"/>
    <n v="434689"/>
    <n v="320767"/>
    <n v="1"/>
  </r>
  <r>
    <n v="5"/>
    <x v="4"/>
    <x v="4"/>
    <x v="8"/>
    <x v="10"/>
    <x v="1"/>
    <x v="4"/>
    <n v="12"/>
    <n v="69522"/>
    <n v="834264"/>
    <n v="539392"/>
    <n v="294872"/>
    <n v="1"/>
  </r>
  <r>
    <n v="5"/>
    <x v="4"/>
    <x v="4"/>
    <x v="9"/>
    <x v="10"/>
    <x v="1"/>
    <x v="5"/>
    <n v="17"/>
    <n v="36767"/>
    <n v="625039"/>
    <n v="353023"/>
    <n v="272016"/>
    <n v="8"/>
  </r>
  <r>
    <n v="5"/>
    <x v="4"/>
    <x v="4"/>
    <x v="9"/>
    <x v="10"/>
    <x v="1"/>
    <x v="6"/>
    <n v="15"/>
    <n v="73442"/>
    <n v="1101630"/>
    <n v="751003"/>
    <n v="350627"/>
    <n v="13"/>
  </r>
  <r>
    <n v="5"/>
    <x v="4"/>
    <x v="4"/>
    <x v="8"/>
    <x v="10"/>
    <x v="1"/>
    <x v="7"/>
    <n v="1"/>
    <n v="51709"/>
    <n v="51709"/>
    <n v="24864"/>
    <n v="26845"/>
    <n v="11"/>
  </r>
  <r>
    <n v="5"/>
    <x v="4"/>
    <x v="4"/>
    <x v="9"/>
    <x v="10"/>
    <x v="2"/>
    <x v="8"/>
    <n v="14"/>
    <n v="134444"/>
    <n v="1882216"/>
    <n v="1122577"/>
    <n v="759639"/>
    <n v="6"/>
  </r>
  <r>
    <n v="5"/>
    <x v="4"/>
    <x v="4"/>
    <x v="8"/>
    <x v="10"/>
    <x v="2"/>
    <x v="9"/>
    <n v="10"/>
    <n v="72198"/>
    <n v="721980"/>
    <n v="457040"/>
    <n v="264940"/>
    <n v="14"/>
  </r>
  <r>
    <n v="5"/>
    <x v="4"/>
    <x v="4"/>
    <x v="9"/>
    <x v="10"/>
    <x v="2"/>
    <x v="10"/>
    <n v="4"/>
    <n v="44031"/>
    <n v="176124"/>
    <n v="110650"/>
    <n v="65474"/>
    <n v="5"/>
  </r>
  <r>
    <n v="5"/>
    <x v="4"/>
    <x v="4"/>
    <x v="8"/>
    <x v="10"/>
    <x v="2"/>
    <x v="11"/>
    <n v="5"/>
    <n v="42867"/>
    <n v="214335"/>
    <n v="109418"/>
    <n v="104917"/>
    <n v="11"/>
  </r>
  <r>
    <n v="5"/>
    <x v="4"/>
    <x v="4"/>
    <x v="8"/>
    <x v="10"/>
    <x v="3"/>
    <x v="12"/>
    <n v="8"/>
    <n v="13960"/>
    <n v="111680"/>
    <n v="60217"/>
    <n v="51463"/>
    <n v="5"/>
  </r>
  <r>
    <n v="5"/>
    <x v="4"/>
    <x v="4"/>
    <x v="9"/>
    <x v="10"/>
    <x v="3"/>
    <x v="13"/>
    <n v="6"/>
    <n v="9500"/>
    <n v="57000"/>
    <n v="37992"/>
    <n v="19008"/>
    <n v="14"/>
  </r>
  <r>
    <n v="5"/>
    <x v="4"/>
    <x v="4"/>
    <x v="8"/>
    <x v="10"/>
    <x v="3"/>
    <x v="14"/>
    <n v="5"/>
    <n v="7875"/>
    <n v="39375"/>
    <n v="16210"/>
    <n v="23165"/>
    <n v="1"/>
  </r>
  <r>
    <n v="5"/>
    <x v="4"/>
    <x v="4"/>
    <x v="8"/>
    <x v="10"/>
    <x v="3"/>
    <x v="15"/>
    <n v="16"/>
    <n v="16141"/>
    <n v="258256"/>
    <n v="136538"/>
    <n v="121718"/>
    <n v="13"/>
  </r>
  <r>
    <n v="5"/>
    <x v="4"/>
    <x v="4"/>
    <x v="8"/>
    <x v="10"/>
    <x v="4"/>
    <x v="16"/>
    <n v="8"/>
    <n v="118046"/>
    <n v="944368"/>
    <n v="632998"/>
    <n v="311370"/>
    <n v="7"/>
  </r>
  <r>
    <n v="5"/>
    <x v="4"/>
    <x v="4"/>
    <x v="9"/>
    <x v="10"/>
    <x v="4"/>
    <x v="17"/>
    <n v="13"/>
    <n v="48901"/>
    <n v="635713"/>
    <n v="272274"/>
    <n v="363439"/>
    <n v="7"/>
  </r>
  <r>
    <n v="5"/>
    <x v="4"/>
    <x v="4"/>
    <x v="9"/>
    <x v="10"/>
    <x v="4"/>
    <x v="18"/>
    <n v="11"/>
    <n v="70357"/>
    <n v="773927"/>
    <n v="473683"/>
    <n v="300244"/>
    <n v="5"/>
  </r>
  <r>
    <n v="5"/>
    <x v="4"/>
    <x v="4"/>
    <x v="9"/>
    <x v="10"/>
    <x v="4"/>
    <x v="19"/>
    <n v="16"/>
    <n v="116282"/>
    <n v="1860512"/>
    <n v="1301740"/>
    <n v="558772"/>
    <n v="10"/>
  </r>
  <r>
    <n v="5"/>
    <x v="4"/>
    <x v="4"/>
    <x v="9"/>
    <x v="11"/>
    <x v="0"/>
    <x v="0"/>
    <n v="10"/>
    <n v="70626"/>
    <n v="706260"/>
    <n v="493879"/>
    <n v="212381"/>
    <n v="2"/>
  </r>
  <r>
    <n v="5"/>
    <x v="4"/>
    <x v="4"/>
    <x v="9"/>
    <x v="11"/>
    <x v="0"/>
    <x v="1"/>
    <n v="15"/>
    <n v="80815"/>
    <n v="1212225"/>
    <n v="634426"/>
    <n v="577799"/>
    <n v="0"/>
  </r>
  <r>
    <n v="5"/>
    <x v="4"/>
    <x v="4"/>
    <x v="8"/>
    <x v="11"/>
    <x v="0"/>
    <x v="2"/>
    <n v="3"/>
    <n v="131603"/>
    <n v="394809"/>
    <n v="263540"/>
    <n v="131269"/>
    <n v="4"/>
  </r>
  <r>
    <n v="5"/>
    <x v="4"/>
    <x v="4"/>
    <x v="9"/>
    <x v="11"/>
    <x v="0"/>
    <x v="3"/>
    <n v="19"/>
    <n v="45525"/>
    <n v="864975"/>
    <n v="492909"/>
    <n v="372066"/>
    <n v="14"/>
  </r>
  <r>
    <n v="5"/>
    <x v="4"/>
    <x v="4"/>
    <x v="9"/>
    <x v="11"/>
    <x v="1"/>
    <x v="4"/>
    <n v="16"/>
    <n v="26644"/>
    <n v="426304"/>
    <n v="200194"/>
    <n v="226110"/>
    <n v="5"/>
  </r>
  <r>
    <n v="5"/>
    <x v="4"/>
    <x v="4"/>
    <x v="9"/>
    <x v="11"/>
    <x v="1"/>
    <x v="5"/>
    <n v="14"/>
    <n v="53687"/>
    <n v="751618"/>
    <n v="441292"/>
    <n v="310326"/>
    <n v="3"/>
  </r>
  <r>
    <n v="5"/>
    <x v="4"/>
    <x v="4"/>
    <x v="9"/>
    <x v="11"/>
    <x v="1"/>
    <x v="6"/>
    <n v="15"/>
    <n v="56607"/>
    <n v="849105"/>
    <n v="497454"/>
    <n v="351651"/>
    <n v="2"/>
  </r>
  <r>
    <n v="5"/>
    <x v="4"/>
    <x v="4"/>
    <x v="8"/>
    <x v="11"/>
    <x v="1"/>
    <x v="7"/>
    <n v="3"/>
    <n v="66287"/>
    <n v="198861"/>
    <n v="104291"/>
    <n v="94570"/>
    <n v="12"/>
  </r>
  <r>
    <n v="5"/>
    <x v="4"/>
    <x v="4"/>
    <x v="8"/>
    <x v="11"/>
    <x v="2"/>
    <x v="8"/>
    <n v="10"/>
    <n v="147314"/>
    <n v="1473140"/>
    <n v="846002"/>
    <n v="627138"/>
    <n v="12"/>
  </r>
  <r>
    <n v="5"/>
    <x v="4"/>
    <x v="4"/>
    <x v="9"/>
    <x v="11"/>
    <x v="2"/>
    <x v="9"/>
    <n v="19"/>
    <n v="30922"/>
    <n v="587518"/>
    <n v="354177"/>
    <n v="233341"/>
    <n v="12"/>
  </r>
  <r>
    <n v="5"/>
    <x v="4"/>
    <x v="4"/>
    <x v="9"/>
    <x v="11"/>
    <x v="2"/>
    <x v="10"/>
    <n v="11"/>
    <n v="76984"/>
    <n v="846824"/>
    <n v="396874"/>
    <n v="449950"/>
    <n v="2"/>
  </r>
  <r>
    <n v="5"/>
    <x v="4"/>
    <x v="4"/>
    <x v="8"/>
    <x v="11"/>
    <x v="2"/>
    <x v="11"/>
    <n v="11"/>
    <n v="25741"/>
    <n v="283151"/>
    <n v="144816"/>
    <n v="138335"/>
    <n v="11"/>
  </r>
  <r>
    <n v="5"/>
    <x v="4"/>
    <x v="4"/>
    <x v="9"/>
    <x v="11"/>
    <x v="3"/>
    <x v="12"/>
    <n v="5"/>
    <n v="8262"/>
    <n v="41310"/>
    <n v="19146"/>
    <n v="22164"/>
    <n v="2"/>
  </r>
  <r>
    <n v="5"/>
    <x v="4"/>
    <x v="4"/>
    <x v="8"/>
    <x v="11"/>
    <x v="3"/>
    <x v="13"/>
    <n v="12"/>
    <n v="18873"/>
    <n v="226476"/>
    <n v="134719"/>
    <n v="91757"/>
    <n v="0"/>
  </r>
  <r>
    <n v="5"/>
    <x v="4"/>
    <x v="4"/>
    <x v="9"/>
    <x v="11"/>
    <x v="3"/>
    <x v="14"/>
    <n v="10"/>
    <n v="8539"/>
    <n v="85390"/>
    <n v="58234"/>
    <n v="27156"/>
    <n v="13"/>
  </r>
  <r>
    <n v="5"/>
    <x v="4"/>
    <x v="4"/>
    <x v="8"/>
    <x v="11"/>
    <x v="3"/>
    <x v="15"/>
    <n v="11"/>
    <n v="9383"/>
    <n v="103213"/>
    <n v="55366"/>
    <n v="47847"/>
    <n v="1"/>
  </r>
  <r>
    <n v="5"/>
    <x v="4"/>
    <x v="4"/>
    <x v="8"/>
    <x v="11"/>
    <x v="4"/>
    <x v="16"/>
    <n v="18"/>
    <n v="92567"/>
    <n v="1666206"/>
    <n v="1137198"/>
    <n v="529008"/>
    <n v="4"/>
  </r>
  <r>
    <n v="5"/>
    <x v="4"/>
    <x v="4"/>
    <x v="8"/>
    <x v="11"/>
    <x v="4"/>
    <x v="17"/>
    <n v="12"/>
    <n v="122020"/>
    <n v="1464240"/>
    <n v="609588"/>
    <n v="854652"/>
    <n v="10"/>
  </r>
  <r>
    <n v="5"/>
    <x v="4"/>
    <x v="4"/>
    <x v="8"/>
    <x v="11"/>
    <x v="4"/>
    <x v="18"/>
    <n v="9"/>
    <n v="49877"/>
    <n v="448893"/>
    <n v="216629"/>
    <n v="232264"/>
    <n v="2"/>
  </r>
  <r>
    <n v="5"/>
    <x v="4"/>
    <x v="4"/>
    <x v="8"/>
    <x v="11"/>
    <x v="4"/>
    <x v="19"/>
    <n v="1"/>
    <n v="84575"/>
    <n v="84575"/>
    <n v="54388"/>
    <n v="30187"/>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32460D-AF88-41D7-A686-98C1F5C9E3B2}"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B14" firstHeaderRow="1" firstDataRow="1" firstDataCol="1"/>
  <pivotFields count="14">
    <pivotField numFmtId="1" showAll="0"/>
    <pivotField showAll="0">
      <items count="6">
        <item h="1" x="1"/>
        <item x="4"/>
        <item h="1" x="2"/>
        <item h="1" x="0"/>
        <item h="1" x="3"/>
        <item t="default"/>
      </items>
    </pivotField>
    <pivotField showAll="0"/>
    <pivotField showAll="0"/>
    <pivotField showAll="0"/>
    <pivotField showAll="0"/>
    <pivotField axis="axisRow" showAll="0" measureFilter="1" sortType="descending">
      <items count="21">
        <item x="13"/>
        <item x="15"/>
        <item x="16"/>
        <item x="4"/>
        <item x="19"/>
        <item x="5"/>
        <item x="3"/>
        <item x="1"/>
        <item x="14"/>
        <item x="7"/>
        <item x="8"/>
        <item x="6"/>
        <item x="17"/>
        <item x="9"/>
        <item x="0"/>
        <item x="18"/>
        <item x="10"/>
        <item x="12"/>
        <item x="11"/>
        <item x="2"/>
        <item t="default"/>
      </items>
      <autoSortScope>
        <pivotArea dataOnly="0" outline="0" fieldPosition="0">
          <references count="1">
            <reference field="4294967294" count="1" selected="0">
              <x v="0"/>
            </reference>
          </references>
        </pivotArea>
      </autoSortScope>
    </pivotField>
    <pivotField numFmtId="1" showAll="0"/>
    <pivotField numFmtId="164" showAll="0"/>
    <pivotField dataField="1" numFmtId="164" showAll="0"/>
    <pivotField numFmtId="164" showAll="0"/>
    <pivotField numFmtId="164" showAll="0"/>
    <pivotField numFmtId="1" showAll="0"/>
    <pivotField dragToRow="0" dragToCol="0" dragToPage="0" showAll="0" defaultSubtotal="0"/>
  </pivotFields>
  <rowFields count="1">
    <field x="6"/>
  </rowFields>
  <rowItems count="11">
    <i>
      <x v="7"/>
    </i>
    <i>
      <x v="13"/>
    </i>
    <i>
      <x v="2"/>
    </i>
    <i>
      <x v="10"/>
    </i>
    <i>
      <x v="12"/>
    </i>
    <i>
      <x v="18"/>
    </i>
    <i>
      <x v="14"/>
    </i>
    <i>
      <x v="6"/>
    </i>
    <i>
      <x v="16"/>
    </i>
    <i>
      <x v="11"/>
    </i>
    <i t="grand">
      <x/>
    </i>
  </rowItems>
  <colItems count="1">
    <i/>
  </colItems>
  <dataFields count="1">
    <dataField name="Sum of Total_Sales_KES" fld="9" baseField="6" baseItem="0" numFmtId="4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A967A7-EDE4-4322-B474-078FA04E8669}"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C9" firstHeaderRow="0" firstDataRow="1" firstDataCol="1"/>
  <pivotFields count="14">
    <pivotField numFmtId="1" showAll="0"/>
    <pivotField axis="axisRow" showAll="0" sortType="descending">
      <items count="6">
        <item x="1"/>
        <item x="4"/>
        <item x="2"/>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 showAll="0"/>
    <pivotField numFmtId="164" showAll="0"/>
    <pivotField dataField="1" numFmtId="164" showAll="0"/>
    <pivotField numFmtId="164" showAll="0"/>
    <pivotField dataField="1" numFmtId="164" showAll="0"/>
    <pivotField numFmtId="1" showAll="0"/>
    <pivotField dragToRow="0" dragToCol="0" dragToPage="0" showAll="0" defaultSubtotal="0"/>
  </pivotFields>
  <rowFields count="1">
    <field x="1"/>
  </rowFields>
  <rowItems count="6">
    <i>
      <x v="2"/>
    </i>
    <i>
      <x/>
    </i>
    <i>
      <x v="4"/>
    </i>
    <i>
      <x v="1"/>
    </i>
    <i>
      <x v="3"/>
    </i>
    <i t="grand">
      <x/>
    </i>
  </rowItems>
  <colFields count="1">
    <field x="-2"/>
  </colFields>
  <colItems count="2">
    <i>
      <x/>
    </i>
    <i i="1">
      <x v="1"/>
    </i>
  </colItems>
  <dataFields count="2">
    <dataField name="Sum of Total_Sales_KES" fld="9" baseField="1" baseItem="0" numFmtId="165"/>
    <dataField name="Sum of Profit_Margin" fld="11" baseField="1" baseItem="0" numFmtId="165"/>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9CD195-FF1D-4E71-A227-C3A3EC616B09}"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3:V17" firstHeaderRow="1" firstDataRow="2" firstDataCol="1" rowPageCount="1" colPageCount="1"/>
  <pivotFields count="14">
    <pivotField numFmtId="1" showAll="0"/>
    <pivotField showAll="0"/>
    <pivotField showAll="0"/>
    <pivotField showAll="0"/>
    <pivotField axis="axisRow" showAll="0" sortType="descending">
      <items count="13">
        <item x="0"/>
        <item x="1"/>
        <item x="2"/>
        <item x="3"/>
        <item x="4"/>
        <item x="5"/>
        <item x="6"/>
        <item x="7"/>
        <item x="8"/>
        <item x="9"/>
        <item x="10"/>
        <item x="11"/>
        <item t="default"/>
      </items>
      <autoSortScope>
        <pivotArea dataOnly="0" outline="0" fieldPosition="0">
          <references count="1">
            <reference field="4294967294" count="1" selected="0">
              <x v="0"/>
            </reference>
          </references>
        </pivotArea>
      </autoSortScope>
    </pivotField>
    <pivotField axis="axisPage" showAll="0">
      <items count="6">
        <item x="4"/>
        <item x="3"/>
        <item x="1"/>
        <item x="0"/>
        <item x="2"/>
        <item t="default"/>
      </items>
    </pivotField>
    <pivotField axis="axisCol" showAll="0">
      <items count="21">
        <item x="13"/>
        <item x="15"/>
        <item x="16"/>
        <item x="4"/>
        <item x="19"/>
        <item x="5"/>
        <item x="3"/>
        <item x="1"/>
        <item x="14"/>
        <item x="7"/>
        <item x="8"/>
        <item x="6"/>
        <item x="17"/>
        <item x="9"/>
        <item x="0"/>
        <item x="18"/>
        <item x="10"/>
        <item x="12"/>
        <item x="11"/>
        <item x="2"/>
        <item t="default"/>
      </items>
    </pivotField>
    <pivotField numFmtId="1" showAll="0"/>
    <pivotField numFmtId="164" showAll="0"/>
    <pivotField dataField="1" numFmtId="164" showAll="0"/>
    <pivotField numFmtId="164" showAll="0"/>
    <pivotField numFmtId="164" showAll="0"/>
    <pivotField numFmtId="1" showAll="0"/>
    <pivotField dragToRow="0" dragToCol="0" dragToPage="0" showAll="0" defaultSubtotal="0"/>
  </pivotFields>
  <rowFields count="1">
    <field x="4"/>
  </rowFields>
  <rowItems count="13">
    <i>
      <x v="7"/>
    </i>
    <i>
      <x v="6"/>
    </i>
    <i>
      <x/>
    </i>
    <i>
      <x v="4"/>
    </i>
    <i>
      <x v="5"/>
    </i>
    <i>
      <x v="2"/>
    </i>
    <i>
      <x v="10"/>
    </i>
    <i>
      <x v="8"/>
    </i>
    <i>
      <x v="3"/>
    </i>
    <i>
      <x v="1"/>
    </i>
    <i>
      <x v="11"/>
    </i>
    <i>
      <x v="9"/>
    </i>
    <i t="grand">
      <x/>
    </i>
  </rowItems>
  <colFields count="1">
    <field x="6"/>
  </colFields>
  <colItems count="21">
    <i>
      <x/>
    </i>
    <i>
      <x v="1"/>
    </i>
    <i>
      <x v="2"/>
    </i>
    <i>
      <x v="3"/>
    </i>
    <i>
      <x v="4"/>
    </i>
    <i>
      <x v="5"/>
    </i>
    <i>
      <x v="6"/>
    </i>
    <i>
      <x v="7"/>
    </i>
    <i>
      <x v="8"/>
    </i>
    <i>
      <x v="9"/>
    </i>
    <i>
      <x v="10"/>
    </i>
    <i>
      <x v="11"/>
    </i>
    <i>
      <x v="12"/>
    </i>
    <i>
      <x v="13"/>
    </i>
    <i>
      <x v="14"/>
    </i>
    <i>
      <x v="15"/>
    </i>
    <i>
      <x v="16"/>
    </i>
    <i>
      <x v="17"/>
    </i>
    <i>
      <x v="18"/>
    </i>
    <i>
      <x v="19"/>
    </i>
    <i t="grand">
      <x/>
    </i>
  </colItems>
  <pageFields count="1">
    <pageField fld="5" hier="-1"/>
  </pageFields>
  <dataFields count="1">
    <dataField name="Sum of Total_Sales_KES" fld="9" baseField="4" baseItem="0" numFmtId="165"/>
  </dataFields>
  <chartFormats count="20">
    <chartFormat chart="1" format="0" series="1">
      <pivotArea type="data" outline="0" fieldPosition="0">
        <references count="2">
          <reference field="4294967294" count="1" selected="0">
            <x v="0"/>
          </reference>
          <reference field="6" count="1" selected="0">
            <x v="0"/>
          </reference>
        </references>
      </pivotArea>
    </chartFormat>
    <chartFormat chart="1" format="1" series="1">
      <pivotArea type="data" outline="0" fieldPosition="0">
        <references count="2">
          <reference field="4294967294" count="1" selected="0">
            <x v="0"/>
          </reference>
          <reference field="6" count="1" selected="0">
            <x v="1"/>
          </reference>
        </references>
      </pivotArea>
    </chartFormat>
    <chartFormat chart="1" format="2" series="1">
      <pivotArea type="data" outline="0" fieldPosition="0">
        <references count="2">
          <reference field="4294967294" count="1" selected="0">
            <x v="0"/>
          </reference>
          <reference field="6" count="1" selected="0">
            <x v="2"/>
          </reference>
        </references>
      </pivotArea>
    </chartFormat>
    <chartFormat chart="1" format="3" series="1">
      <pivotArea type="data" outline="0" fieldPosition="0">
        <references count="2">
          <reference field="4294967294" count="1" selected="0">
            <x v="0"/>
          </reference>
          <reference field="6" count="1" selected="0">
            <x v="3"/>
          </reference>
        </references>
      </pivotArea>
    </chartFormat>
    <chartFormat chart="1" format="4" series="1">
      <pivotArea type="data" outline="0" fieldPosition="0">
        <references count="2">
          <reference field="4294967294" count="1" selected="0">
            <x v="0"/>
          </reference>
          <reference field="6" count="1" selected="0">
            <x v="4"/>
          </reference>
        </references>
      </pivotArea>
    </chartFormat>
    <chartFormat chart="1" format="5" series="1">
      <pivotArea type="data" outline="0" fieldPosition="0">
        <references count="2">
          <reference field="4294967294" count="1" selected="0">
            <x v="0"/>
          </reference>
          <reference field="6" count="1" selected="0">
            <x v="5"/>
          </reference>
        </references>
      </pivotArea>
    </chartFormat>
    <chartFormat chart="1" format="6" series="1">
      <pivotArea type="data" outline="0" fieldPosition="0">
        <references count="2">
          <reference field="4294967294" count="1" selected="0">
            <x v="0"/>
          </reference>
          <reference field="6" count="1" selected="0">
            <x v="6"/>
          </reference>
        </references>
      </pivotArea>
    </chartFormat>
    <chartFormat chart="1" format="7" series="1">
      <pivotArea type="data" outline="0" fieldPosition="0">
        <references count="2">
          <reference field="4294967294" count="1" selected="0">
            <x v="0"/>
          </reference>
          <reference field="6" count="1" selected="0">
            <x v="7"/>
          </reference>
        </references>
      </pivotArea>
    </chartFormat>
    <chartFormat chart="1" format="8" series="1">
      <pivotArea type="data" outline="0" fieldPosition="0">
        <references count="2">
          <reference field="4294967294" count="1" selected="0">
            <x v="0"/>
          </reference>
          <reference field="6" count="1" selected="0">
            <x v="8"/>
          </reference>
        </references>
      </pivotArea>
    </chartFormat>
    <chartFormat chart="1" format="9" series="1">
      <pivotArea type="data" outline="0" fieldPosition="0">
        <references count="2">
          <reference field="4294967294" count="1" selected="0">
            <x v="0"/>
          </reference>
          <reference field="6" count="1" selected="0">
            <x v="9"/>
          </reference>
        </references>
      </pivotArea>
    </chartFormat>
    <chartFormat chart="1" format="10" series="1">
      <pivotArea type="data" outline="0" fieldPosition="0">
        <references count="2">
          <reference field="4294967294" count="1" selected="0">
            <x v="0"/>
          </reference>
          <reference field="6" count="1" selected="0">
            <x v="10"/>
          </reference>
        </references>
      </pivotArea>
    </chartFormat>
    <chartFormat chart="1" format="11" series="1">
      <pivotArea type="data" outline="0" fieldPosition="0">
        <references count="2">
          <reference field="4294967294" count="1" selected="0">
            <x v="0"/>
          </reference>
          <reference field="6" count="1" selected="0">
            <x v="11"/>
          </reference>
        </references>
      </pivotArea>
    </chartFormat>
    <chartFormat chart="1" format="12" series="1">
      <pivotArea type="data" outline="0" fieldPosition="0">
        <references count="2">
          <reference field="4294967294" count="1" selected="0">
            <x v="0"/>
          </reference>
          <reference field="6" count="1" selected="0">
            <x v="12"/>
          </reference>
        </references>
      </pivotArea>
    </chartFormat>
    <chartFormat chart="1" format="13" series="1">
      <pivotArea type="data" outline="0" fieldPosition="0">
        <references count="2">
          <reference field="4294967294" count="1" selected="0">
            <x v="0"/>
          </reference>
          <reference field="6" count="1" selected="0">
            <x v="13"/>
          </reference>
        </references>
      </pivotArea>
    </chartFormat>
    <chartFormat chart="1" format="14" series="1">
      <pivotArea type="data" outline="0" fieldPosition="0">
        <references count="2">
          <reference field="4294967294" count="1" selected="0">
            <x v="0"/>
          </reference>
          <reference field="6" count="1" selected="0">
            <x v="14"/>
          </reference>
        </references>
      </pivotArea>
    </chartFormat>
    <chartFormat chart="1" format="15" series="1">
      <pivotArea type="data" outline="0" fieldPosition="0">
        <references count="2">
          <reference field="4294967294" count="1" selected="0">
            <x v="0"/>
          </reference>
          <reference field="6" count="1" selected="0">
            <x v="15"/>
          </reference>
        </references>
      </pivotArea>
    </chartFormat>
    <chartFormat chart="1" format="16" series="1">
      <pivotArea type="data" outline="0" fieldPosition="0">
        <references count="2">
          <reference field="4294967294" count="1" selected="0">
            <x v="0"/>
          </reference>
          <reference field="6" count="1" selected="0">
            <x v="16"/>
          </reference>
        </references>
      </pivotArea>
    </chartFormat>
    <chartFormat chart="1" format="17" series="1">
      <pivotArea type="data" outline="0" fieldPosition="0">
        <references count="2">
          <reference field="4294967294" count="1" selected="0">
            <x v="0"/>
          </reference>
          <reference field="6" count="1" selected="0">
            <x v="17"/>
          </reference>
        </references>
      </pivotArea>
    </chartFormat>
    <chartFormat chart="1" format="18" series="1">
      <pivotArea type="data" outline="0" fieldPosition="0">
        <references count="2">
          <reference field="4294967294" count="1" selected="0">
            <x v="0"/>
          </reference>
          <reference field="6" count="1" selected="0">
            <x v="18"/>
          </reference>
        </references>
      </pivotArea>
    </chartFormat>
    <chartFormat chart="1" format="19" series="1">
      <pivotArea type="data" outline="0" fieldPosition="0">
        <references count="2">
          <reference field="4294967294" count="1" selected="0">
            <x v="0"/>
          </reference>
          <reference field="6" count="1" selected="0">
            <x v="1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4A1554-2267-470E-85EC-0A043864EDCC}"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rowHeaderCaption="Attendants" colHeaderCaption="Product_Category">
  <location ref="A3:G15" firstHeaderRow="1" firstDataRow="2" firstDataCol="1"/>
  <pivotFields count="14">
    <pivotField numFmtId="1" showAll="0"/>
    <pivotField showAll="0"/>
    <pivotField showAll="0"/>
    <pivotField axis="axisRow" showAll="0">
      <items count="11">
        <item x="2"/>
        <item x="3"/>
        <item x="8"/>
        <item x="7"/>
        <item x="9"/>
        <item x="6"/>
        <item x="0"/>
        <item x="4"/>
        <item x="1"/>
        <item x="5"/>
        <item t="default"/>
      </items>
    </pivotField>
    <pivotField showAll="0"/>
    <pivotField axis="axisCol" showAll="0" sortType="descending">
      <items count="6">
        <item x="4"/>
        <item x="3"/>
        <item x="1"/>
        <item x="0"/>
        <item x="2"/>
        <item t="default"/>
      </items>
      <autoSortScope>
        <pivotArea dataOnly="0" outline="0" fieldPosition="0">
          <references count="1">
            <reference field="4294967294" count="1" selected="0">
              <x v="0"/>
            </reference>
          </references>
        </pivotArea>
      </autoSortScope>
    </pivotField>
    <pivotField showAll="0"/>
    <pivotField numFmtId="1" showAll="0"/>
    <pivotField numFmtId="164" showAll="0"/>
    <pivotField dataField="1" numFmtId="164" showAll="0"/>
    <pivotField numFmtId="164" showAll="0"/>
    <pivotField numFmtId="164" showAll="0"/>
    <pivotField numFmtId="1" showAll="0"/>
    <pivotField dragToRow="0" dragToCol="0" dragToPage="0" showAll="0" defaultSubtotal="0"/>
  </pivotFields>
  <rowFields count="1">
    <field x="3"/>
  </rowFields>
  <rowItems count="11">
    <i>
      <x/>
    </i>
    <i>
      <x v="1"/>
    </i>
    <i>
      <x v="2"/>
    </i>
    <i>
      <x v="3"/>
    </i>
    <i>
      <x v="4"/>
    </i>
    <i>
      <x v="5"/>
    </i>
    <i>
      <x v="6"/>
    </i>
    <i>
      <x v="7"/>
    </i>
    <i>
      <x v="8"/>
    </i>
    <i>
      <x v="9"/>
    </i>
    <i t="grand">
      <x/>
    </i>
  </rowItems>
  <colFields count="1">
    <field x="5"/>
  </colFields>
  <colItems count="6">
    <i>
      <x/>
    </i>
    <i>
      <x v="3"/>
    </i>
    <i>
      <x v="4"/>
    </i>
    <i>
      <x v="2"/>
    </i>
    <i>
      <x v="1"/>
    </i>
    <i t="grand">
      <x/>
    </i>
  </colItems>
  <dataFields count="1">
    <dataField name="Sum of Total_Sales_KES" fld="9" baseField="3" baseItem="0" numFmtId="165"/>
  </dataFields>
  <chartFormats count="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3"/>
          </reference>
        </references>
      </pivotArea>
    </chartFormat>
    <chartFormat chart="0" format="2" series="1">
      <pivotArea type="data" outline="0" fieldPosition="0">
        <references count="2">
          <reference field="4294967294" count="1" selected="0">
            <x v="0"/>
          </reference>
          <reference field="5" count="1" selected="0">
            <x v="4"/>
          </reference>
        </references>
      </pivotArea>
    </chartFormat>
    <chartFormat chart="0" format="3" series="1">
      <pivotArea type="data" outline="0" fieldPosition="0">
        <references count="2">
          <reference field="4294967294" count="1" selected="0">
            <x v="0"/>
          </reference>
          <reference field="5" count="1" selected="0">
            <x v="2"/>
          </reference>
        </references>
      </pivotArea>
    </chartFormat>
    <chartFormat chart="0" format="4"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363D85-7119-4F7D-9080-D995DFFDFF73}"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B9" firstHeaderRow="1" firstDataRow="1" firstDataCol="1"/>
  <pivotFields count="14">
    <pivotField numFmtId="1" showAll="0"/>
    <pivotField axis="axisRow" showAll="0" measureFilter="1" sortType="descending">
      <items count="6">
        <item x="1"/>
        <item x="4"/>
        <item x="2"/>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21">
        <item x="13"/>
        <item x="15"/>
        <item x="16"/>
        <item x="4"/>
        <item x="19"/>
        <item x="5"/>
        <item x="3"/>
        <item x="1"/>
        <item x="14"/>
        <item x="7"/>
        <item x="8"/>
        <item x="6"/>
        <item x="17"/>
        <item x="9"/>
        <item x="0"/>
        <item x="18"/>
        <item x="10"/>
        <item x="12"/>
        <item x="11"/>
        <item x="2"/>
        <item t="default"/>
      </items>
    </pivotField>
    <pivotField numFmtId="1" showAll="0"/>
    <pivotField numFmtId="164" showAll="0"/>
    <pivotField numFmtId="164" showAll="0"/>
    <pivotField numFmtId="164" showAll="0"/>
    <pivotField numFmtId="164" showAll="0"/>
    <pivotField dataField="1" numFmtId="1" showAll="0"/>
    <pivotField dragToRow="0" dragToCol="0" dragToPage="0" showAll="0" defaultSubtotal="0"/>
  </pivotFields>
  <rowFields count="1">
    <field x="1"/>
  </rowFields>
  <rowItems count="6">
    <i>
      <x v="4"/>
    </i>
    <i>
      <x v="3"/>
    </i>
    <i>
      <x v="2"/>
    </i>
    <i>
      <x/>
    </i>
    <i>
      <x v="1"/>
    </i>
    <i t="grand">
      <x/>
    </i>
  </rowItems>
  <colItems count="1">
    <i/>
  </colItems>
  <dataFields count="1">
    <dataField name="Sum of Inventory_Left" fld="1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6E3AC39-6C55-4B49-842C-25BBDA4D7723}"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G25" firstHeaderRow="1" firstDataRow="2" firstDataCol="1" rowPageCount="1" colPageCount="1"/>
  <pivotFields count="14">
    <pivotField numFmtId="1" showAll="0"/>
    <pivotField showAll="0">
      <items count="6">
        <item x="1"/>
        <item x="4"/>
        <item x="2"/>
        <item x="0"/>
        <item x="3"/>
        <item t="default"/>
      </items>
    </pivotField>
    <pivotField axis="axisCol" showAll="0">
      <items count="6">
        <item x="4"/>
        <item x="2"/>
        <item x="1"/>
        <item x="0"/>
        <item x="3"/>
        <item t="default"/>
      </items>
    </pivotField>
    <pivotField showAll="0"/>
    <pivotField showAll="0"/>
    <pivotField axis="axisPage" multipleItemSelectionAllowed="1" showAll="0">
      <items count="6">
        <item x="4"/>
        <item x="3"/>
        <item x="1"/>
        <item x="0"/>
        <item x="2"/>
        <item t="default"/>
      </items>
    </pivotField>
    <pivotField axis="axisRow" showAll="0">
      <items count="21">
        <item x="13"/>
        <item x="15"/>
        <item x="16"/>
        <item x="4"/>
        <item x="19"/>
        <item x="5"/>
        <item x="3"/>
        <item x="1"/>
        <item x="14"/>
        <item x="7"/>
        <item x="8"/>
        <item x="6"/>
        <item x="17"/>
        <item x="9"/>
        <item x="0"/>
        <item x="18"/>
        <item x="10"/>
        <item x="12"/>
        <item x="11"/>
        <item x="2"/>
        <item t="default"/>
      </items>
    </pivotField>
    <pivotField dataField="1" numFmtId="1" showAll="0"/>
    <pivotField numFmtId="164" showAll="0"/>
    <pivotField numFmtId="164" showAll="0"/>
    <pivotField numFmtId="164" showAll="0"/>
    <pivotField numFmtId="164" showAll="0"/>
    <pivotField numFmtId="1" showAll="0"/>
    <pivotField dragToRow="0" dragToCol="0" dragToPage="0" showAll="0" defaultSubtotal="0"/>
  </pivotFields>
  <rowFields count="1">
    <field x="6"/>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6">
    <i>
      <x/>
    </i>
    <i>
      <x v="1"/>
    </i>
    <i>
      <x v="2"/>
    </i>
    <i>
      <x v="3"/>
    </i>
    <i>
      <x v="4"/>
    </i>
    <i t="grand">
      <x/>
    </i>
  </colItems>
  <pageFields count="1">
    <pageField fld="5" hier="-1"/>
  </pageFields>
  <dataFields count="1">
    <dataField name="Sum of Units_Sold" fld="7" showDataAs="percentOfCol" baseField="0" baseItem="0" numFmtId="10"/>
  </dataFields>
  <formats count="4">
    <format dxfId="13">
      <pivotArea collapsedLevelsAreSubtotals="1" fieldPosition="0">
        <references count="1">
          <reference field="6" count="0"/>
        </references>
      </pivotArea>
    </format>
    <format dxfId="12">
      <pivotArea grandRow="1" outline="0" collapsedLevelsAreSubtotals="1" fieldPosition="0"/>
    </format>
    <format dxfId="11">
      <pivotArea collapsedLevelsAreSubtotals="1" fieldPosition="0">
        <references count="1">
          <reference field="6" count="19">
            <x v="0"/>
            <x v="1"/>
            <x v="2"/>
            <x v="3"/>
            <x v="4"/>
            <x v="5"/>
            <x v="6"/>
            <x v="7"/>
            <x v="8"/>
            <x v="9"/>
            <x v="10"/>
            <x v="11"/>
            <x v="12"/>
            <x v="13"/>
            <x v="14"/>
            <x v="15"/>
            <x v="16"/>
            <x v="17"/>
            <x v="18"/>
          </reference>
        </references>
      </pivotArea>
    </format>
    <format dxfId="10">
      <pivotArea collapsedLevelsAreSubtotals="1" fieldPosition="0">
        <references count="1">
          <reference field="6" count="1">
            <x v="19"/>
          </reference>
        </references>
      </pivotArea>
    </format>
  </formats>
  <chartFormats count="5">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7AB5997-9D9B-4EF8-970C-A888206065C7}"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rowHeaderCaption="Shop_Name">
  <location ref="A3:D9" firstHeaderRow="0" firstDataRow="1" firstDataCol="1"/>
  <pivotFields count="14">
    <pivotField numFmtId="1" showAll="0"/>
    <pivotField axis="axisRow" showAll="0" sortType="descending">
      <items count="6">
        <item x="1"/>
        <item x="4"/>
        <item x="2"/>
        <item x="0"/>
        <item x="3"/>
        <item t="default"/>
      </items>
      <autoSortScope>
        <pivotArea dataOnly="0" outline="0" fieldPosition="0">
          <references count="1">
            <reference field="4294967294" count="1" selected="0">
              <x v="2"/>
            </reference>
          </references>
        </pivotArea>
      </autoSortScope>
    </pivotField>
    <pivotField showAll="0"/>
    <pivotField showAll="0"/>
    <pivotField showAll="0"/>
    <pivotField showAll="0"/>
    <pivotField showAll="0"/>
    <pivotField numFmtId="1" showAll="0"/>
    <pivotField numFmtId="164" showAll="0"/>
    <pivotField dataField="1" numFmtId="164" showAll="0"/>
    <pivotField dataField="1" numFmtId="164" showAll="0"/>
    <pivotField numFmtId="164" showAll="0"/>
    <pivotField numFmtId="1" showAll="0"/>
    <pivotField dataField="1" dragToRow="0" dragToCol="0" dragToPage="0" showAll="0" defaultSubtotal="0"/>
  </pivotFields>
  <rowFields count="1">
    <field x="1"/>
  </rowFields>
  <rowItems count="6">
    <i>
      <x v="1"/>
    </i>
    <i>
      <x v="4"/>
    </i>
    <i>
      <x v="3"/>
    </i>
    <i>
      <x/>
    </i>
    <i>
      <x v="2"/>
    </i>
    <i t="grand">
      <x/>
    </i>
  </rowItems>
  <colFields count="1">
    <field x="-2"/>
  </colFields>
  <colItems count="3">
    <i>
      <x/>
    </i>
    <i i="1">
      <x v="1"/>
    </i>
    <i i="2">
      <x v="2"/>
    </i>
  </colItems>
  <dataFields count="3">
    <dataField name="Sum of Total_Sales_KES" fld="9" baseField="1" baseItem="0" numFmtId="165"/>
    <dataField name="Sum of Total_Expenses_KES" fld="10" baseField="1" baseItem="0" numFmtId="165"/>
    <dataField name="Efficiency in %" fld="13" baseField="1" baseItem="0" numFmtId="9"/>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4048493-3EDF-4CFB-84E2-04D371949374}"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Product_Names">
  <location ref="A3:C24" firstHeaderRow="0" firstDataRow="1" firstDataCol="1"/>
  <pivotFields count="14">
    <pivotField numFmtId="1" showAll="0"/>
    <pivotField showAll="0"/>
    <pivotField showAll="0"/>
    <pivotField showAll="0"/>
    <pivotField showAll="0"/>
    <pivotField showAll="0"/>
    <pivotField axis="axisRow" showAll="0" sortType="ascending">
      <items count="21">
        <item x="13"/>
        <item x="15"/>
        <item x="16"/>
        <item x="4"/>
        <item x="19"/>
        <item x="5"/>
        <item x="3"/>
        <item x="1"/>
        <item x="14"/>
        <item x="7"/>
        <item x="8"/>
        <item x="6"/>
        <item x="17"/>
        <item x="9"/>
        <item x="0"/>
        <item x="18"/>
        <item x="10"/>
        <item x="12"/>
        <item x="11"/>
        <item x="2"/>
        <item t="default"/>
      </items>
      <autoSortScope>
        <pivotArea dataOnly="0" outline="0" fieldPosition="0">
          <references count="1">
            <reference field="4294967294" count="1" selected="0">
              <x v="0"/>
            </reference>
          </references>
        </pivotArea>
      </autoSortScope>
    </pivotField>
    <pivotField dataField="1" numFmtId="1" showAll="0"/>
    <pivotField numFmtId="164" showAll="0"/>
    <pivotField dataField="1" numFmtId="164" showAll="0"/>
    <pivotField numFmtId="164" showAll="0"/>
    <pivotField numFmtId="164" showAll="0"/>
    <pivotField numFmtId="1" showAll="0"/>
    <pivotField dragToRow="0" dragToCol="0" dragToPage="0" showAll="0" defaultSubtotal="0"/>
  </pivotFields>
  <rowFields count="1">
    <field x="6"/>
  </rowFields>
  <rowItems count="21">
    <i>
      <x/>
    </i>
    <i>
      <x v="8"/>
    </i>
    <i>
      <x v="17"/>
    </i>
    <i>
      <x v="1"/>
    </i>
    <i>
      <x v="3"/>
    </i>
    <i>
      <x v="14"/>
    </i>
    <i>
      <x v="15"/>
    </i>
    <i>
      <x v="18"/>
    </i>
    <i>
      <x v="16"/>
    </i>
    <i>
      <x v="12"/>
    </i>
    <i>
      <x v="11"/>
    </i>
    <i>
      <x v="4"/>
    </i>
    <i>
      <x v="5"/>
    </i>
    <i>
      <x v="19"/>
    </i>
    <i>
      <x v="10"/>
    </i>
    <i>
      <x v="9"/>
    </i>
    <i>
      <x v="6"/>
    </i>
    <i>
      <x v="13"/>
    </i>
    <i>
      <x v="7"/>
    </i>
    <i>
      <x v="2"/>
    </i>
    <i t="grand">
      <x/>
    </i>
  </rowItems>
  <colFields count="1">
    <field x="-2"/>
  </colFields>
  <colItems count="2">
    <i>
      <x/>
    </i>
    <i i="1">
      <x v="1"/>
    </i>
  </colItems>
  <dataFields count="2">
    <dataField name="Sum of Total_Sales_KES" fld="9" baseField="6" baseItem="6" numFmtId="165"/>
    <dataField name="Sum of Units_Sold"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2053065-247F-4040-8080-5E3E6FC6FB03}" autoFormatId="16" applyNumberFormats="0" applyBorderFormats="0" applyFontFormats="0" applyPatternFormats="0" applyAlignmentFormats="0" applyWidthHeightFormats="0">
  <queryTableRefresh nextId="17">
    <queryTableFields count="14">
      <queryTableField id="1" name="Shop_ID" tableColumnId="1"/>
      <queryTableField id="2" name="Shop_Name" tableColumnId="2"/>
      <queryTableField id="3" name="Town" tableColumnId="3"/>
      <queryTableField id="4" name="Attendant_Name" tableColumnId="4"/>
      <queryTableField id="5" name="Month" tableColumnId="5"/>
      <queryTableField id="15" dataBound="0" tableColumnId="14"/>
      <queryTableField id="6" name="Product_Category" tableColumnId="6"/>
      <queryTableField id="7" name="Product_Name" tableColumnId="7"/>
      <queryTableField id="8" name="Units_Sold" tableColumnId="8"/>
      <queryTableField id="9" name="Unit_Price_KES" tableColumnId="9"/>
      <queryTableField id="10" name="Total_Sales_KES" tableColumnId="10"/>
      <queryTableField id="11" name="Total_Expenses_KES" tableColumnId="11"/>
      <queryTableField id="13" name="Profit_Margin" tableColumnId="13"/>
      <queryTableField id="12" name="Inventory_Left"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op_Name" xr10:uid="{AD5B4308-FE1F-4BD3-BF2A-E7A712DA592A}" sourceName="Shop_Name">
  <pivotTables>
    <pivotTable tabId="3" name="PivotTable1"/>
  </pivotTables>
  <data>
    <tabular pivotCacheId="1988360338">
      <items count="5">
        <i x="1"/>
        <i x="4" s="1"/>
        <i x="2"/>
        <i x="0"/>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op_Name1" xr10:uid="{A6B4E55B-C53B-4CF1-8F74-70BE81A458FD}" sourceName="Shop_Name">
  <pivotTables>
    <pivotTable tabId="9" name="PivotTable6"/>
  </pivotTables>
  <data>
    <tabular pivotCacheId="1988360338">
      <items count="5">
        <i x="1" s="1"/>
        <i x="4"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op_Name" xr10:uid="{F6A5E7C1-700F-4A3C-9CDE-C0AAA9E0F2F0}" cache="Slicer_Shop_Name" caption="Shop_Name" style="SlicerStyleLigh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op_Name 1" xr10:uid="{FEC65288-0063-4ED7-A1C0-D8473D8D77F9}" cache="Slicer_Shop_Name1" caption="Shop_Nam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9CD0A8-459F-4EF5-B759-D5F0DCF4A19F}" name="Sales_Data_table" displayName="Sales_Data_table" ref="A1:N1201" tableType="queryTable" totalsRowShown="0">
  <autoFilter ref="A1:N1201" xr:uid="{F39CD0A8-459F-4EF5-B759-D5F0DCF4A19F}"/>
  <tableColumns count="14">
    <tableColumn id="1" xr3:uid="{EAE983B6-979D-421C-8B8F-39D603A072EB}" uniqueName="1" name="Shop_ID" queryTableFieldId="1" dataDxfId="27"/>
    <tableColumn id="2" xr3:uid="{7B4FBBCD-308F-48CF-8877-B0F6374147E3}" uniqueName="2" name="Shop_Name" queryTableFieldId="2" dataDxfId="26"/>
    <tableColumn id="3" xr3:uid="{863D1CE8-545C-4FE1-B9AB-474BDC9A3ECC}" uniqueName="3" name="Town" queryTableFieldId="3" dataDxfId="25"/>
    <tableColumn id="4" xr3:uid="{464FE40E-4CF4-4B57-A585-1B3DC77D5451}" uniqueName="4" name="Attendant_Name" queryTableFieldId="4" dataDxfId="24"/>
    <tableColumn id="5" xr3:uid="{F88AD52C-CFBB-4C3A-9532-C7E573263466}" uniqueName="5" name="Month" queryTableFieldId="5" dataDxfId="23"/>
    <tableColumn id="14" xr3:uid="{E6445995-C628-492B-B7B9-55E70361E7E8}" uniqueName="14" name="Dates" queryTableFieldId="15" dataDxfId="22"/>
    <tableColumn id="6" xr3:uid="{7447863D-F8A1-4301-A8B6-1818AD5CC5D2}" uniqueName="6" name="Product_Category" queryTableFieldId="6" dataDxfId="21"/>
    <tableColumn id="7" xr3:uid="{AEFE23C8-9C49-41F5-B65C-2E1C2C77FEE9}" uniqueName="7" name="Product_Name" queryTableFieldId="7" dataDxfId="20"/>
    <tableColumn id="8" xr3:uid="{112BD27F-55EB-431D-B9B8-39E2DCD4EE4F}" uniqueName="8" name="Units_Sold" queryTableFieldId="8" dataDxfId="19"/>
    <tableColumn id="9" xr3:uid="{A425B182-95F0-46F8-B16F-BE4A0CAA7412}" uniqueName="9" name="Unit_Price_KES" queryTableFieldId="9" dataDxfId="18" dataCellStyle="Currency"/>
    <tableColumn id="10" xr3:uid="{37101C66-AEDF-44D0-8C40-BC9AB817F382}" uniqueName="10" name="Total_Sales_KES" queryTableFieldId="10" dataDxfId="17" dataCellStyle="Currency"/>
    <tableColumn id="11" xr3:uid="{77B47497-CB3F-4AF5-84AA-4E0714631325}" uniqueName="11" name="Total_Expenses_KES" queryTableFieldId="11" dataDxfId="16" dataCellStyle="Currency"/>
    <tableColumn id="13" xr3:uid="{ECF2C3DA-77B8-4D96-95C0-9C4114D0D704}" uniqueName="13" name="Profit_Margin" queryTableFieldId="13" dataDxfId="15" dataCellStyle="Currency"/>
    <tableColumn id="12" xr3:uid="{D88EA78F-E7A3-419F-98B2-154F1F19A90E}" uniqueName="12" name="Inventory_Left" queryTableFieldId="12" dataDxfId="14" dataCellStyle="Currency"/>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5C005C-A638-4224-AAB8-8F9D3CE334AC}" name="Table2" displayName="Table2" ref="A1:E26" totalsRowShown="0">
  <autoFilter ref="A1:E26" xr:uid="{485C005C-A638-4224-AAB8-8F9D3CE334AC}"/>
  <tableColumns count="5">
    <tableColumn id="1" xr3:uid="{4412BD04-3363-4246-B1D8-F82954FEA986}" name="Dates" dataDxfId="9"/>
    <tableColumn id="2" xr3:uid="{0098AB5D-B5B4-408D-9545-6DE6796A045E}" name=" Profit_Margin "/>
    <tableColumn id="3" xr3:uid="{413F0AFF-AE88-43C7-8769-C945E6DB6DE9}" name="Forecast( Profit_Margin )" dataDxfId="8">
      <calculatedColumnFormula>_xlfn.FORECAST.ETS(A2,$B$2:$B$13,$A$2:$A$13,1,1)</calculatedColumnFormula>
    </tableColumn>
    <tableColumn id="4" xr3:uid="{7D95D1D7-4AAE-4D6B-BEB4-3AA1D0055477}" name="Lower Confidence Bound( Profit_Margin )" dataDxfId="7">
      <calculatedColumnFormula>C2-_xlfn.FORECAST.ETS.CONFINT(A2,$B$2:$B$13,$A$2:$A$13,0.95,1,1)</calculatedColumnFormula>
    </tableColumn>
    <tableColumn id="5" xr3:uid="{EC15F7F9-DBD4-4056-A10F-7F2C0BB0D88E}" name="Upper Confidence Bound( Profit_Margin )" dataDxfId="6">
      <calculatedColumnFormula>C2+_xlfn.FORECAST.ETS.CONFINT(A2,$B$2:$B$13,$A$2:$A$13,0.95,1,1)</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A438FC2-2B1E-4A21-8F8B-C51FB93FB6B3}" name="Table3" displayName="Table3" ref="L3:N23" totalsRowShown="0" headerRowDxfId="3">
  <autoFilter ref="L3:N23" xr:uid="{5A438FC2-2B1E-4A21-8F8B-C51FB93FB6B3}"/>
  <tableColumns count="3">
    <tableColumn id="1" xr3:uid="{35A07DC1-8989-4B28-B9ED-83334126E8F9}" name="Product_Names" dataDxfId="2"/>
    <tableColumn id="2" xr3:uid="{C1446E7D-B54E-4D5E-8D38-653211CA8E83}" name="Total_Sales" dataDxfId="1"/>
    <tableColumn id="4" xr3:uid="{81798859-8DFC-4EDD-AE1E-D2371D5084C2}" name="Promotion_Flag" dataDxfId="0">
      <calculatedColumnFormula>IF(M4&lt;$H$4,"Needs Promotion","OK")</calculatedColumnFormula>
    </tableColumn>
  </tableColumns>
  <tableStyleInfo name="TableStyleLight2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2.bin"/><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BA1CF-1179-444D-AA0C-C809E5B24BF2}">
  <dimension ref="A1:E16"/>
  <sheetViews>
    <sheetView showGridLines="0" tabSelected="1" workbookViewId="0">
      <selection activeCell="C6" sqref="C6"/>
    </sheetView>
  </sheetViews>
  <sheetFormatPr defaultRowHeight="15" x14ac:dyDescent="0.25"/>
  <sheetData>
    <row r="1" spans="1:5" x14ac:dyDescent="0.25">
      <c r="A1" s="16" t="s">
        <v>98</v>
      </c>
      <c r="B1" s="16"/>
      <c r="C1" s="16"/>
      <c r="D1" s="16"/>
      <c r="E1" s="16"/>
    </row>
    <row r="2" spans="1:5" x14ac:dyDescent="0.25">
      <c r="A2" t="s">
        <v>110</v>
      </c>
    </row>
    <row r="3" spans="1:5" x14ac:dyDescent="0.25">
      <c r="A3" t="s">
        <v>109</v>
      </c>
    </row>
    <row r="4" spans="1:5" x14ac:dyDescent="0.25">
      <c r="A4" t="s">
        <v>99</v>
      </c>
    </row>
    <row r="5" spans="1:5" x14ac:dyDescent="0.25">
      <c r="A5" t="s">
        <v>108</v>
      </c>
    </row>
    <row r="6" spans="1:5" x14ac:dyDescent="0.25">
      <c r="A6" t="s">
        <v>100</v>
      </c>
    </row>
    <row r="7" spans="1:5" x14ac:dyDescent="0.25">
      <c r="A7" s="19" t="s">
        <v>101</v>
      </c>
    </row>
    <row r="8" spans="1:5" x14ac:dyDescent="0.25">
      <c r="A8" t="s">
        <v>102</v>
      </c>
    </row>
    <row r="9" spans="1:5" x14ac:dyDescent="0.25">
      <c r="A9" t="s">
        <v>103</v>
      </c>
    </row>
    <row r="10" spans="1:5" x14ac:dyDescent="0.25">
      <c r="A10" t="s">
        <v>104</v>
      </c>
    </row>
    <row r="11" spans="1:5" x14ac:dyDescent="0.25">
      <c r="A11" t="s">
        <v>105</v>
      </c>
    </row>
    <row r="12" spans="1:5" x14ac:dyDescent="0.25">
      <c r="A12" t="s">
        <v>106</v>
      </c>
    </row>
    <row r="13" spans="1:5" x14ac:dyDescent="0.25">
      <c r="A13" t="s">
        <v>84</v>
      </c>
    </row>
    <row r="14" spans="1:5" x14ac:dyDescent="0.25">
      <c r="A14" t="s">
        <v>107</v>
      </c>
    </row>
    <row r="15" spans="1:5" x14ac:dyDescent="0.25">
      <c r="A15" t="s">
        <v>92</v>
      </c>
    </row>
    <row r="16" spans="1:5" x14ac:dyDescent="0.25">
      <c r="A16" t="s">
        <v>94</v>
      </c>
    </row>
  </sheetData>
  <mergeCells count="1">
    <mergeCell ref="A1:E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26FF1-54A3-4D05-AAA1-F1A29F8A4A44}">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0BC6F-6CE9-4301-AA03-D421F57865C2}">
  <dimension ref="A1:N1201"/>
  <sheetViews>
    <sheetView topLeftCell="I2" workbookViewId="0">
      <selection activeCell="H15" sqref="H15"/>
    </sheetView>
  </sheetViews>
  <sheetFormatPr defaultRowHeight="15" x14ac:dyDescent="0.25"/>
  <cols>
    <col min="1" max="1" width="10.5703125" style="2" bestFit="1" customWidth="1"/>
    <col min="2" max="2" width="19.140625" bestFit="1" customWidth="1"/>
    <col min="3" max="3" width="9.5703125" bestFit="1" customWidth="1"/>
    <col min="4" max="4" width="18.7109375" bestFit="1" customWidth="1"/>
    <col min="5" max="5" width="9.28515625" bestFit="1" customWidth="1"/>
    <col min="6" max="6" width="11.140625" style="12" bestFit="1" customWidth="1"/>
    <col min="7" max="7" width="19.140625" bestFit="1" customWidth="1"/>
    <col min="8" max="8" width="20.42578125" bestFit="1" customWidth="1"/>
    <col min="9" max="9" width="12.85546875" style="2" bestFit="1" customWidth="1"/>
    <col min="10" max="10" width="18.28515625" style="3" bestFit="1" customWidth="1"/>
    <col min="11" max="11" width="19" style="3" bestFit="1" customWidth="1"/>
    <col min="12" max="12" width="22.85546875" style="3" bestFit="1" customWidth="1"/>
    <col min="13" max="13" width="17.140625" style="3" bestFit="1" customWidth="1"/>
    <col min="14" max="14" width="16.42578125" style="4" bestFit="1" customWidth="1"/>
  </cols>
  <sheetData>
    <row r="1" spans="1:14" x14ac:dyDescent="0.25">
      <c r="A1" s="2" t="s">
        <v>0</v>
      </c>
      <c r="B1" t="s">
        <v>1</v>
      </c>
      <c r="C1" t="s">
        <v>2</v>
      </c>
      <c r="D1" t="s">
        <v>3</v>
      </c>
      <c r="E1" t="s">
        <v>4</v>
      </c>
      <c r="F1" s="12" t="s">
        <v>85</v>
      </c>
      <c r="G1" t="s">
        <v>5</v>
      </c>
      <c r="H1" t="s">
        <v>6</v>
      </c>
      <c r="I1" s="2" t="s">
        <v>7</v>
      </c>
      <c r="J1" s="3" t="s">
        <v>8</v>
      </c>
      <c r="K1" s="3" t="s">
        <v>9</v>
      </c>
      <c r="L1" s="3" t="s">
        <v>10</v>
      </c>
      <c r="M1" s="3" t="s">
        <v>73</v>
      </c>
      <c r="N1" s="4" t="s">
        <v>11</v>
      </c>
    </row>
    <row r="2" spans="1:14" x14ac:dyDescent="0.25">
      <c r="A2" s="2">
        <v>1</v>
      </c>
      <c r="B2" s="1" t="s">
        <v>12</v>
      </c>
      <c r="C2" s="1" t="s">
        <v>13</v>
      </c>
      <c r="D2" s="1" t="s">
        <v>14</v>
      </c>
      <c r="E2" s="11" t="s">
        <v>15</v>
      </c>
      <c r="F2" s="12">
        <v>45658</v>
      </c>
      <c r="G2" s="1" t="s">
        <v>16</v>
      </c>
      <c r="H2" s="1" t="s">
        <v>17</v>
      </c>
      <c r="I2" s="2">
        <v>7</v>
      </c>
      <c r="J2" s="3">
        <v>35795</v>
      </c>
      <c r="K2" s="3">
        <v>250565</v>
      </c>
      <c r="L2" s="3">
        <v>171690</v>
      </c>
      <c r="M2" s="3">
        <v>78875</v>
      </c>
      <c r="N2" s="4">
        <v>10</v>
      </c>
    </row>
    <row r="3" spans="1:14" x14ac:dyDescent="0.25">
      <c r="A3" s="2">
        <v>1</v>
      </c>
      <c r="B3" s="1" t="s">
        <v>12</v>
      </c>
      <c r="C3" s="1" t="s">
        <v>13</v>
      </c>
      <c r="D3" s="1" t="s">
        <v>18</v>
      </c>
      <c r="E3" s="11" t="s">
        <v>15</v>
      </c>
      <c r="F3" s="12">
        <v>45658</v>
      </c>
      <c r="G3" s="1" t="s">
        <v>16</v>
      </c>
      <c r="H3" s="1" t="s">
        <v>19</v>
      </c>
      <c r="I3" s="2">
        <v>8</v>
      </c>
      <c r="J3" s="3">
        <v>130268</v>
      </c>
      <c r="K3" s="3">
        <v>1042144</v>
      </c>
      <c r="L3" s="3">
        <v>603458</v>
      </c>
      <c r="M3" s="3">
        <v>438686</v>
      </c>
      <c r="N3" s="4">
        <v>9</v>
      </c>
    </row>
    <row r="4" spans="1:14" x14ac:dyDescent="0.25">
      <c r="A4" s="2">
        <v>1</v>
      </c>
      <c r="B4" s="1" t="s">
        <v>12</v>
      </c>
      <c r="C4" s="1" t="s">
        <v>13</v>
      </c>
      <c r="D4" s="1" t="s">
        <v>18</v>
      </c>
      <c r="E4" s="11" t="s">
        <v>15</v>
      </c>
      <c r="F4" s="12">
        <v>45658</v>
      </c>
      <c r="G4" s="1" t="s">
        <v>16</v>
      </c>
      <c r="H4" s="1" t="s">
        <v>20</v>
      </c>
      <c r="I4" s="2">
        <v>19</v>
      </c>
      <c r="J4" s="3">
        <v>148214</v>
      </c>
      <c r="K4" s="3">
        <v>2816066</v>
      </c>
      <c r="L4" s="3">
        <v>1175496</v>
      </c>
      <c r="M4" s="3">
        <v>1640570</v>
      </c>
      <c r="N4" s="4">
        <v>7</v>
      </c>
    </row>
    <row r="5" spans="1:14" x14ac:dyDescent="0.25">
      <c r="A5" s="2">
        <v>1</v>
      </c>
      <c r="B5" s="1" t="s">
        <v>12</v>
      </c>
      <c r="C5" s="1" t="s">
        <v>13</v>
      </c>
      <c r="D5" s="1" t="s">
        <v>18</v>
      </c>
      <c r="E5" s="11" t="s">
        <v>15</v>
      </c>
      <c r="F5" s="12">
        <v>45658</v>
      </c>
      <c r="G5" s="1" t="s">
        <v>16</v>
      </c>
      <c r="H5" s="1" t="s">
        <v>21</v>
      </c>
      <c r="I5" s="2">
        <v>4</v>
      </c>
      <c r="J5" s="3">
        <v>80263</v>
      </c>
      <c r="K5" s="3">
        <v>321052</v>
      </c>
      <c r="L5" s="3">
        <v>196619</v>
      </c>
      <c r="M5" s="3">
        <v>124433</v>
      </c>
      <c r="N5" s="4">
        <v>5</v>
      </c>
    </row>
    <row r="6" spans="1:14" x14ac:dyDescent="0.25">
      <c r="A6" s="2">
        <v>1</v>
      </c>
      <c r="B6" s="1" t="s">
        <v>12</v>
      </c>
      <c r="C6" s="1" t="s">
        <v>13</v>
      </c>
      <c r="D6" s="1" t="s">
        <v>14</v>
      </c>
      <c r="E6" s="11" t="s">
        <v>15</v>
      </c>
      <c r="F6" s="12">
        <v>45658</v>
      </c>
      <c r="G6" s="1" t="s">
        <v>22</v>
      </c>
      <c r="H6" s="1" t="s">
        <v>23</v>
      </c>
      <c r="I6" s="2">
        <v>2</v>
      </c>
      <c r="J6" s="3">
        <v>79735</v>
      </c>
      <c r="K6" s="3">
        <v>159470</v>
      </c>
      <c r="L6" s="3">
        <v>103612</v>
      </c>
      <c r="M6" s="3">
        <v>55858</v>
      </c>
      <c r="N6" s="4">
        <v>5</v>
      </c>
    </row>
    <row r="7" spans="1:14" x14ac:dyDescent="0.25">
      <c r="A7" s="2">
        <v>1</v>
      </c>
      <c r="B7" s="1" t="s">
        <v>12</v>
      </c>
      <c r="C7" s="1" t="s">
        <v>13</v>
      </c>
      <c r="D7" s="1" t="s">
        <v>14</v>
      </c>
      <c r="E7" s="11" t="s">
        <v>15</v>
      </c>
      <c r="F7" s="12">
        <v>45658</v>
      </c>
      <c r="G7" s="1" t="s">
        <v>22</v>
      </c>
      <c r="H7" s="1" t="s">
        <v>24</v>
      </c>
      <c r="I7" s="2">
        <v>2</v>
      </c>
      <c r="J7" s="3">
        <v>25311</v>
      </c>
      <c r="K7" s="3">
        <v>50622</v>
      </c>
      <c r="L7" s="3">
        <v>35317</v>
      </c>
      <c r="M7" s="3">
        <v>15305</v>
      </c>
      <c r="N7" s="4">
        <v>0</v>
      </c>
    </row>
    <row r="8" spans="1:14" x14ac:dyDescent="0.25">
      <c r="A8" s="2">
        <v>1</v>
      </c>
      <c r="B8" s="1" t="s">
        <v>12</v>
      </c>
      <c r="C8" s="1" t="s">
        <v>13</v>
      </c>
      <c r="D8" s="1" t="s">
        <v>14</v>
      </c>
      <c r="E8" s="11" t="s">
        <v>15</v>
      </c>
      <c r="F8" s="12">
        <v>45658</v>
      </c>
      <c r="G8" s="1" t="s">
        <v>22</v>
      </c>
      <c r="H8" s="1" t="s">
        <v>25</v>
      </c>
      <c r="I8" s="2">
        <v>12</v>
      </c>
      <c r="J8" s="3">
        <v>105305</v>
      </c>
      <c r="K8" s="3">
        <v>1263660</v>
      </c>
      <c r="L8" s="3">
        <v>704398</v>
      </c>
      <c r="M8" s="3">
        <v>559262</v>
      </c>
      <c r="N8" s="4">
        <v>11</v>
      </c>
    </row>
    <row r="9" spans="1:14" x14ac:dyDescent="0.25">
      <c r="A9" s="2">
        <v>1</v>
      </c>
      <c r="B9" s="1" t="s">
        <v>12</v>
      </c>
      <c r="C9" s="1" t="s">
        <v>13</v>
      </c>
      <c r="D9" s="1" t="s">
        <v>18</v>
      </c>
      <c r="E9" s="11" t="s">
        <v>15</v>
      </c>
      <c r="F9" s="12">
        <v>45658</v>
      </c>
      <c r="G9" s="1" t="s">
        <v>22</v>
      </c>
      <c r="H9" s="1" t="s">
        <v>26</v>
      </c>
      <c r="I9" s="2">
        <v>17</v>
      </c>
      <c r="J9" s="3">
        <v>126970</v>
      </c>
      <c r="K9" s="3">
        <v>2158490</v>
      </c>
      <c r="L9" s="3">
        <v>1259599</v>
      </c>
      <c r="M9" s="3">
        <v>898891</v>
      </c>
      <c r="N9" s="4">
        <v>9</v>
      </c>
    </row>
    <row r="10" spans="1:14" x14ac:dyDescent="0.25">
      <c r="A10" s="2">
        <v>1</v>
      </c>
      <c r="B10" s="1" t="s">
        <v>12</v>
      </c>
      <c r="C10" s="1" t="s">
        <v>13</v>
      </c>
      <c r="D10" s="1" t="s">
        <v>14</v>
      </c>
      <c r="E10" s="11" t="s">
        <v>15</v>
      </c>
      <c r="F10" s="12">
        <v>45658</v>
      </c>
      <c r="G10" s="1" t="s">
        <v>27</v>
      </c>
      <c r="H10" s="1" t="s">
        <v>28</v>
      </c>
      <c r="I10" s="2">
        <v>16</v>
      </c>
      <c r="J10" s="3">
        <v>79150</v>
      </c>
      <c r="K10" s="3">
        <v>1266400</v>
      </c>
      <c r="L10" s="3">
        <v>679830</v>
      </c>
      <c r="M10" s="3">
        <v>586570</v>
      </c>
      <c r="N10" s="4">
        <v>14</v>
      </c>
    </row>
    <row r="11" spans="1:14" x14ac:dyDescent="0.25">
      <c r="A11" s="2">
        <v>1</v>
      </c>
      <c r="B11" s="1" t="s">
        <v>12</v>
      </c>
      <c r="C11" s="1" t="s">
        <v>13</v>
      </c>
      <c r="D11" s="1" t="s">
        <v>14</v>
      </c>
      <c r="E11" s="11" t="s">
        <v>15</v>
      </c>
      <c r="F11" s="12">
        <v>45658</v>
      </c>
      <c r="G11" s="1" t="s">
        <v>27</v>
      </c>
      <c r="H11" s="1" t="s">
        <v>29</v>
      </c>
      <c r="I11" s="2">
        <v>19</v>
      </c>
      <c r="J11" s="3">
        <v>87435</v>
      </c>
      <c r="K11" s="3">
        <v>1661265</v>
      </c>
      <c r="L11" s="3">
        <v>920789</v>
      </c>
      <c r="M11" s="3">
        <v>740476</v>
      </c>
      <c r="N11" s="4">
        <v>8</v>
      </c>
    </row>
    <row r="12" spans="1:14" x14ac:dyDescent="0.25">
      <c r="A12" s="2">
        <v>1</v>
      </c>
      <c r="B12" s="1" t="s">
        <v>12</v>
      </c>
      <c r="C12" s="1" t="s">
        <v>13</v>
      </c>
      <c r="D12" s="1" t="s">
        <v>14</v>
      </c>
      <c r="E12" s="11" t="s">
        <v>15</v>
      </c>
      <c r="F12" s="12">
        <v>45658</v>
      </c>
      <c r="G12" s="1" t="s">
        <v>27</v>
      </c>
      <c r="H12" s="1" t="s">
        <v>30</v>
      </c>
      <c r="I12" s="2">
        <v>3</v>
      </c>
      <c r="J12" s="3">
        <v>89092</v>
      </c>
      <c r="K12" s="3">
        <v>267276</v>
      </c>
      <c r="L12" s="3">
        <v>155625</v>
      </c>
      <c r="M12" s="3">
        <v>111651</v>
      </c>
      <c r="N12" s="4">
        <v>4</v>
      </c>
    </row>
    <row r="13" spans="1:14" x14ac:dyDescent="0.25">
      <c r="A13" s="2">
        <v>1</v>
      </c>
      <c r="B13" s="1" t="s">
        <v>12</v>
      </c>
      <c r="C13" s="1" t="s">
        <v>13</v>
      </c>
      <c r="D13" s="1" t="s">
        <v>18</v>
      </c>
      <c r="E13" s="11" t="s">
        <v>15</v>
      </c>
      <c r="F13" s="12">
        <v>45658</v>
      </c>
      <c r="G13" s="1" t="s">
        <v>27</v>
      </c>
      <c r="H13" s="1" t="s">
        <v>31</v>
      </c>
      <c r="I13" s="2">
        <v>9</v>
      </c>
      <c r="J13" s="3">
        <v>100038</v>
      </c>
      <c r="K13" s="3">
        <v>900342</v>
      </c>
      <c r="L13" s="3">
        <v>363719</v>
      </c>
      <c r="M13" s="3">
        <v>536623</v>
      </c>
      <c r="N13" s="4">
        <v>8</v>
      </c>
    </row>
    <row r="14" spans="1:14" x14ac:dyDescent="0.25">
      <c r="A14" s="2">
        <v>1</v>
      </c>
      <c r="B14" s="1" t="s">
        <v>12</v>
      </c>
      <c r="C14" s="1" t="s">
        <v>13</v>
      </c>
      <c r="D14" s="1" t="s">
        <v>18</v>
      </c>
      <c r="E14" s="11" t="s">
        <v>15</v>
      </c>
      <c r="F14" s="12">
        <v>45658</v>
      </c>
      <c r="G14" s="1" t="s">
        <v>32</v>
      </c>
      <c r="H14" s="1" t="s">
        <v>33</v>
      </c>
      <c r="I14" s="2">
        <v>14</v>
      </c>
      <c r="J14" s="3">
        <v>13433</v>
      </c>
      <c r="K14" s="3">
        <v>188062</v>
      </c>
      <c r="L14" s="3">
        <v>96969</v>
      </c>
      <c r="M14" s="3">
        <v>91093</v>
      </c>
      <c r="N14" s="4">
        <v>9</v>
      </c>
    </row>
    <row r="15" spans="1:14" x14ac:dyDescent="0.25">
      <c r="A15" s="2">
        <v>1</v>
      </c>
      <c r="B15" s="1" t="s">
        <v>12</v>
      </c>
      <c r="C15" s="1" t="s">
        <v>13</v>
      </c>
      <c r="D15" s="1" t="s">
        <v>18</v>
      </c>
      <c r="E15" s="11" t="s">
        <v>15</v>
      </c>
      <c r="F15" s="12">
        <v>45658</v>
      </c>
      <c r="G15" s="1" t="s">
        <v>32</v>
      </c>
      <c r="H15" s="1" t="s">
        <v>34</v>
      </c>
      <c r="I15" s="2">
        <v>2</v>
      </c>
      <c r="J15" s="3">
        <v>14555</v>
      </c>
      <c r="K15" s="3">
        <v>29110</v>
      </c>
      <c r="L15" s="3">
        <v>13748</v>
      </c>
      <c r="M15" s="3">
        <v>15362</v>
      </c>
      <c r="N15" s="4">
        <v>11</v>
      </c>
    </row>
    <row r="16" spans="1:14" x14ac:dyDescent="0.25">
      <c r="A16" s="2">
        <v>1</v>
      </c>
      <c r="B16" s="1" t="s">
        <v>12</v>
      </c>
      <c r="C16" s="1" t="s">
        <v>13</v>
      </c>
      <c r="D16" s="1" t="s">
        <v>14</v>
      </c>
      <c r="E16" s="11" t="s">
        <v>15</v>
      </c>
      <c r="F16" s="12">
        <v>45658</v>
      </c>
      <c r="G16" s="1" t="s">
        <v>32</v>
      </c>
      <c r="H16" s="1" t="s">
        <v>35</v>
      </c>
      <c r="I16" s="2">
        <v>7</v>
      </c>
      <c r="J16" s="3">
        <v>15748</v>
      </c>
      <c r="K16" s="3">
        <v>110236</v>
      </c>
      <c r="L16" s="3">
        <v>71648</v>
      </c>
      <c r="M16" s="3">
        <v>38588</v>
      </c>
      <c r="N16" s="4">
        <v>2</v>
      </c>
    </row>
    <row r="17" spans="1:14" x14ac:dyDescent="0.25">
      <c r="A17" s="2">
        <v>1</v>
      </c>
      <c r="B17" s="1" t="s">
        <v>12</v>
      </c>
      <c r="C17" s="1" t="s">
        <v>13</v>
      </c>
      <c r="D17" s="1" t="s">
        <v>18</v>
      </c>
      <c r="E17" s="11" t="s">
        <v>15</v>
      </c>
      <c r="F17" s="12">
        <v>45658</v>
      </c>
      <c r="G17" s="1" t="s">
        <v>32</v>
      </c>
      <c r="H17" s="1" t="s">
        <v>36</v>
      </c>
      <c r="I17" s="2">
        <v>14</v>
      </c>
      <c r="J17" s="3">
        <v>8152</v>
      </c>
      <c r="K17" s="3">
        <v>114128</v>
      </c>
      <c r="L17" s="3">
        <v>54511</v>
      </c>
      <c r="M17" s="3">
        <v>59617</v>
      </c>
      <c r="N17" s="4">
        <v>7</v>
      </c>
    </row>
    <row r="18" spans="1:14" x14ac:dyDescent="0.25">
      <c r="A18" s="2">
        <v>1</v>
      </c>
      <c r="B18" s="1" t="s">
        <v>12</v>
      </c>
      <c r="C18" s="1" t="s">
        <v>13</v>
      </c>
      <c r="D18" s="1" t="s">
        <v>18</v>
      </c>
      <c r="E18" s="11" t="s">
        <v>15</v>
      </c>
      <c r="F18" s="12">
        <v>45658</v>
      </c>
      <c r="G18" s="1" t="s">
        <v>37</v>
      </c>
      <c r="H18" s="1" t="s">
        <v>38</v>
      </c>
      <c r="I18" s="2">
        <v>4</v>
      </c>
      <c r="J18" s="3">
        <v>39457</v>
      </c>
      <c r="K18" s="3">
        <v>157828</v>
      </c>
      <c r="L18" s="3">
        <v>83261</v>
      </c>
      <c r="M18" s="3">
        <v>74567</v>
      </c>
      <c r="N18" s="4">
        <v>5</v>
      </c>
    </row>
    <row r="19" spans="1:14" x14ac:dyDescent="0.25">
      <c r="A19" s="2">
        <v>1</v>
      </c>
      <c r="B19" s="1" t="s">
        <v>12</v>
      </c>
      <c r="C19" s="1" t="s">
        <v>13</v>
      </c>
      <c r="D19" s="1" t="s">
        <v>18</v>
      </c>
      <c r="E19" s="11" t="s">
        <v>15</v>
      </c>
      <c r="F19" s="12">
        <v>45658</v>
      </c>
      <c r="G19" s="1" t="s">
        <v>37</v>
      </c>
      <c r="H19" s="1" t="s">
        <v>39</v>
      </c>
      <c r="I19" s="2">
        <v>10</v>
      </c>
      <c r="J19" s="3">
        <v>72995</v>
      </c>
      <c r="K19" s="3">
        <v>729950</v>
      </c>
      <c r="L19" s="3">
        <v>332460</v>
      </c>
      <c r="M19" s="3">
        <v>397490</v>
      </c>
      <c r="N19" s="4">
        <v>14</v>
      </c>
    </row>
    <row r="20" spans="1:14" x14ac:dyDescent="0.25">
      <c r="A20" s="2">
        <v>1</v>
      </c>
      <c r="B20" s="1" t="s">
        <v>12</v>
      </c>
      <c r="C20" s="1" t="s">
        <v>13</v>
      </c>
      <c r="D20" s="1" t="s">
        <v>18</v>
      </c>
      <c r="E20" s="11" t="s">
        <v>15</v>
      </c>
      <c r="F20" s="12">
        <v>45658</v>
      </c>
      <c r="G20" s="1" t="s">
        <v>37</v>
      </c>
      <c r="H20" s="1" t="s">
        <v>40</v>
      </c>
      <c r="I20" s="2">
        <v>18</v>
      </c>
      <c r="J20" s="3">
        <v>92409</v>
      </c>
      <c r="K20" s="3">
        <v>1663362</v>
      </c>
      <c r="L20" s="3">
        <v>889775</v>
      </c>
      <c r="M20" s="3">
        <v>773587</v>
      </c>
      <c r="N20" s="4">
        <v>9</v>
      </c>
    </row>
    <row r="21" spans="1:14" x14ac:dyDescent="0.25">
      <c r="A21" s="2">
        <v>1</v>
      </c>
      <c r="B21" s="1" t="s">
        <v>12</v>
      </c>
      <c r="C21" s="1" t="s">
        <v>13</v>
      </c>
      <c r="D21" s="1" t="s">
        <v>18</v>
      </c>
      <c r="E21" s="11" t="s">
        <v>15</v>
      </c>
      <c r="F21" s="12">
        <v>45658</v>
      </c>
      <c r="G21" s="1" t="s">
        <v>37</v>
      </c>
      <c r="H21" s="1" t="s">
        <v>41</v>
      </c>
      <c r="I21" s="2">
        <v>4</v>
      </c>
      <c r="J21" s="3">
        <v>149293</v>
      </c>
      <c r="K21" s="3">
        <v>597172</v>
      </c>
      <c r="L21" s="3">
        <v>369160</v>
      </c>
      <c r="M21" s="3">
        <v>228012</v>
      </c>
      <c r="N21" s="4">
        <v>14</v>
      </c>
    </row>
    <row r="22" spans="1:14" x14ac:dyDescent="0.25">
      <c r="A22" s="2">
        <v>1</v>
      </c>
      <c r="B22" s="1" t="s">
        <v>12</v>
      </c>
      <c r="C22" s="1" t="s">
        <v>13</v>
      </c>
      <c r="D22" s="1" t="s">
        <v>14</v>
      </c>
      <c r="E22" s="11" t="s">
        <v>42</v>
      </c>
      <c r="F22" s="12">
        <v>45689</v>
      </c>
      <c r="G22" s="1" t="s">
        <v>16</v>
      </c>
      <c r="H22" s="1" t="s">
        <v>17</v>
      </c>
      <c r="I22" s="2">
        <v>8</v>
      </c>
      <c r="J22" s="3">
        <v>60397</v>
      </c>
      <c r="K22" s="3">
        <v>483176</v>
      </c>
      <c r="L22" s="3">
        <v>221678</v>
      </c>
      <c r="M22" s="3">
        <v>261498</v>
      </c>
      <c r="N22" s="4">
        <v>8</v>
      </c>
    </row>
    <row r="23" spans="1:14" x14ac:dyDescent="0.25">
      <c r="A23" s="2">
        <v>1</v>
      </c>
      <c r="B23" s="1" t="s">
        <v>12</v>
      </c>
      <c r="C23" s="1" t="s">
        <v>13</v>
      </c>
      <c r="D23" s="1" t="s">
        <v>14</v>
      </c>
      <c r="E23" s="11" t="s">
        <v>42</v>
      </c>
      <c r="F23" s="12">
        <v>45689</v>
      </c>
      <c r="G23" s="1" t="s">
        <v>16</v>
      </c>
      <c r="H23" s="1" t="s">
        <v>19</v>
      </c>
      <c r="I23" s="2">
        <v>8</v>
      </c>
      <c r="J23" s="3">
        <v>109812</v>
      </c>
      <c r="K23" s="3">
        <v>878496</v>
      </c>
      <c r="L23" s="3">
        <v>453833</v>
      </c>
      <c r="M23" s="3">
        <v>424663</v>
      </c>
      <c r="N23" s="4">
        <v>1</v>
      </c>
    </row>
    <row r="24" spans="1:14" x14ac:dyDescent="0.25">
      <c r="A24" s="2">
        <v>1</v>
      </c>
      <c r="B24" s="1" t="s">
        <v>12</v>
      </c>
      <c r="C24" s="1" t="s">
        <v>13</v>
      </c>
      <c r="D24" s="1" t="s">
        <v>18</v>
      </c>
      <c r="E24" s="11" t="s">
        <v>42</v>
      </c>
      <c r="F24" s="12">
        <v>45689</v>
      </c>
      <c r="G24" s="1" t="s">
        <v>16</v>
      </c>
      <c r="H24" s="1" t="s">
        <v>20</v>
      </c>
      <c r="I24" s="2">
        <v>15</v>
      </c>
      <c r="J24" s="3">
        <v>29268</v>
      </c>
      <c r="K24" s="3">
        <v>439020</v>
      </c>
      <c r="L24" s="3">
        <v>252886</v>
      </c>
      <c r="M24" s="3">
        <v>186134</v>
      </c>
      <c r="N24" s="4">
        <v>8</v>
      </c>
    </row>
    <row r="25" spans="1:14" x14ac:dyDescent="0.25">
      <c r="A25" s="2">
        <v>1</v>
      </c>
      <c r="B25" s="1" t="s">
        <v>12</v>
      </c>
      <c r="C25" s="1" t="s">
        <v>13</v>
      </c>
      <c r="D25" s="1" t="s">
        <v>14</v>
      </c>
      <c r="E25" s="11" t="s">
        <v>42</v>
      </c>
      <c r="F25" s="12">
        <v>45689</v>
      </c>
      <c r="G25" s="1" t="s">
        <v>16</v>
      </c>
      <c r="H25" s="1" t="s">
        <v>21</v>
      </c>
      <c r="I25" s="2">
        <v>13</v>
      </c>
      <c r="J25" s="3">
        <v>125512</v>
      </c>
      <c r="K25" s="3">
        <v>1631656</v>
      </c>
      <c r="L25" s="3">
        <v>797687</v>
      </c>
      <c r="M25" s="3">
        <v>833969</v>
      </c>
      <c r="N25" s="4">
        <v>12</v>
      </c>
    </row>
    <row r="26" spans="1:14" x14ac:dyDescent="0.25">
      <c r="A26" s="2">
        <v>1</v>
      </c>
      <c r="B26" s="1" t="s">
        <v>12</v>
      </c>
      <c r="C26" s="1" t="s">
        <v>13</v>
      </c>
      <c r="D26" s="1" t="s">
        <v>18</v>
      </c>
      <c r="E26" s="11" t="s">
        <v>42</v>
      </c>
      <c r="F26" s="12">
        <v>45689</v>
      </c>
      <c r="G26" s="1" t="s">
        <v>22</v>
      </c>
      <c r="H26" s="1" t="s">
        <v>23</v>
      </c>
      <c r="I26" s="2">
        <v>1</v>
      </c>
      <c r="J26" s="3">
        <v>68984</v>
      </c>
      <c r="K26" s="3">
        <v>68984</v>
      </c>
      <c r="L26" s="3">
        <v>48017</v>
      </c>
      <c r="M26" s="3">
        <v>20967</v>
      </c>
      <c r="N26" s="4">
        <v>7</v>
      </c>
    </row>
    <row r="27" spans="1:14" x14ac:dyDescent="0.25">
      <c r="A27" s="2">
        <v>1</v>
      </c>
      <c r="B27" s="1" t="s">
        <v>12</v>
      </c>
      <c r="C27" s="1" t="s">
        <v>13</v>
      </c>
      <c r="D27" s="1" t="s">
        <v>18</v>
      </c>
      <c r="E27" s="11" t="s">
        <v>42</v>
      </c>
      <c r="F27" s="12">
        <v>45689</v>
      </c>
      <c r="G27" s="1" t="s">
        <v>22</v>
      </c>
      <c r="H27" s="1" t="s">
        <v>24</v>
      </c>
      <c r="I27" s="2">
        <v>1</v>
      </c>
      <c r="J27" s="3">
        <v>87563</v>
      </c>
      <c r="K27" s="3">
        <v>87563</v>
      </c>
      <c r="L27" s="3">
        <v>42734</v>
      </c>
      <c r="M27" s="3">
        <v>44829</v>
      </c>
      <c r="N27" s="4">
        <v>14</v>
      </c>
    </row>
    <row r="28" spans="1:14" x14ac:dyDescent="0.25">
      <c r="A28" s="2">
        <v>1</v>
      </c>
      <c r="B28" s="1" t="s">
        <v>12</v>
      </c>
      <c r="C28" s="1" t="s">
        <v>13</v>
      </c>
      <c r="D28" s="1" t="s">
        <v>18</v>
      </c>
      <c r="E28" s="11" t="s">
        <v>42</v>
      </c>
      <c r="F28" s="12">
        <v>45689</v>
      </c>
      <c r="G28" s="1" t="s">
        <v>22</v>
      </c>
      <c r="H28" s="1" t="s">
        <v>25</v>
      </c>
      <c r="I28" s="2">
        <v>11</v>
      </c>
      <c r="J28" s="3">
        <v>107538</v>
      </c>
      <c r="K28" s="3">
        <v>1182918</v>
      </c>
      <c r="L28" s="3">
        <v>724013</v>
      </c>
      <c r="M28" s="3">
        <v>458905</v>
      </c>
      <c r="N28" s="4">
        <v>2</v>
      </c>
    </row>
    <row r="29" spans="1:14" x14ac:dyDescent="0.25">
      <c r="A29" s="2">
        <v>1</v>
      </c>
      <c r="B29" s="1" t="s">
        <v>12</v>
      </c>
      <c r="C29" s="1" t="s">
        <v>13</v>
      </c>
      <c r="D29" s="1" t="s">
        <v>18</v>
      </c>
      <c r="E29" s="11" t="s">
        <v>42</v>
      </c>
      <c r="F29" s="12">
        <v>45689</v>
      </c>
      <c r="G29" s="1" t="s">
        <v>22</v>
      </c>
      <c r="H29" s="1" t="s">
        <v>26</v>
      </c>
      <c r="I29" s="2">
        <v>3</v>
      </c>
      <c r="J29" s="3">
        <v>149312</v>
      </c>
      <c r="K29" s="3">
        <v>447936</v>
      </c>
      <c r="L29" s="3">
        <v>260603</v>
      </c>
      <c r="M29" s="3">
        <v>187333</v>
      </c>
      <c r="N29" s="4">
        <v>9</v>
      </c>
    </row>
    <row r="30" spans="1:14" x14ac:dyDescent="0.25">
      <c r="A30" s="2">
        <v>1</v>
      </c>
      <c r="B30" s="1" t="s">
        <v>12</v>
      </c>
      <c r="C30" s="1" t="s">
        <v>13</v>
      </c>
      <c r="D30" s="1" t="s">
        <v>18</v>
      </c>
      <c r="E30" s="11" t="s">
        <v>42</v>
      </c>
      <c r="F30" s="12">
        <v>45689</v>
      </c>
      <c r="G30" s="1" t="s">
        <v>27</v>
      </c>
      <c r="H30" s="1" t="s">
        <v>28</v>
      </c>
      <c r="I30" s="2">
        <v>7</v>
      </c>
      <c r="J30" s="3">
        <v>84505</v>
      </c>
      <c r="K30" s="3">
        <v>591535</v>
      </c>
      <c r="L30" s="3">
        <v>257176</v>
      </c>
      <c r="M30" s="3">
        <v>334359</v>
      </c>
      <c r="N30" s="4">
        <v>6</v>
      </c>
    </row>
    <row r="31" spans="1:14" x14ac:dyDescent="0.25">
      <c r="A31" s="2">
        <v>1</v>
      </c>
      <c r="B31" s="1" t="s">
        <v>12</v>
      </c>
      <c r="C31" s="1" t="s">
        <v>13</v>
      </c>
      <c r="D31" s="1" t="s">
        <v>14</v>
      </c>
      <c r="E31" s="11" t="s">
        <v>42</v>
      </c>
      <c r="F31" s="12">
        <v>45689</v>
      </c>
      <c r="G31" s="1" t="s">
        <v>27</v>
      </c>
      <c r="H31" s="1" t="s">
        <v>29</v>
      </c>
      <c r="I31" s="2">
        <v>9</v>
      </c>
      <c r="J31" s="3">
        <v>50535</v>
      </c>
      <c r="K31" s="3">
        <v>454815</v>
      </c>
      <c r="L31" s="3">
        <v>243251</v>
      </c>
      <c r="M31" s="3">
        <v>211564</v>
      </c>
      <c r="N31" s="4">
        <v>0</v>
      </c>
    </row>
    <row r="32" spans="1:14" x14ac:dyDescent="0.25">
      <c r="A32" s="2">
        <v>1</v>
      </c>
      <c r="B32" s="1" t="s">
        <v>12</v>
      </c>
      <c r="C32" s="1" t="s">
        <v>13</v>
      </c>
      <c r="D32" s="1" t="s">
        <v>14</v>
      </c>
      <c r="E32" s="11" t="s">
        <v>42</v>
      </c>
      <c r="F32" s="12">
        <v>45689</v>
      </c>
      <c r="G32" s="1" t="s">
        <v>27</v>
      </c>
      <c r="H32" s="1" t="s">
        <v>30</v>
      </c>
      <c r="I32" s="2">
        <v>16</v>
      </c>
      <c r="J32" s="3">
        <v>147478</v>
      </c>
      <c r="K32" s="3">
        <v>2359648</v>
      </c>
      <c r="L32" s="3">
        <v>1164001</v>
      </c>
      <c r="M32" s="3">
        <v>1195647</v>
      </c>
      <c r="N32" s="4">
        <v>7</v>
      </c>
    </row>
    <row r="33" spans="1:14" x14ac:dyDescent="0.25">
      <c r="A33" s="2">
        <v>1</v>
      </c>
      <c r="B33" s="1" t="s">
        <v>12</v>
      </c>
      <c r="C33" s="1" t="s">
        <v>13</v>
      </c>
      <c r="D33" s="1" t="s">
        <v>18</v>
      </c>
      <c r="E33" s="11" t="s">
        <v>42</v>
      </c>
      <c r="F33" s="12">
        <v>45689</v>
      </c>
      <c r="G33" s="1" t="s">
        <v>27</v>
      </c>
      <c r="H33" s="1" t="s">
        <v>31</v>
      </c>
      <c r="I33" s="2">
        <v>5</v>
      </c>
      <c r="J33" s="3">
        <v>116354</v>
      </c>
      <c r="K33" s="3">
        <v>581770</v>
      </c>
      <c r="L33" s="3">
        <v>335907</v>
      </c>
      <c r="M33" s="3">
        <v>245863</v>
      </c>
      <c r="N33" s="4">
        <v>5</v>
      </c>
    </row>
    <row r="34" spans="1:14" x14ac:dyDescent="0.25">
      <c r="A34" s="2">
        <v>1</v>
      </c>
      <c r="B34" s="1" t="s">
        <v>12</v>
      </c>
      <c r="C34" s="1" t="s">
        <v>13</v>
      </c>
      <c r="D34" s="1" t="s">
        <v>18</v>
      </c>
      <c r="E34" s="11" t="s">
        <v>42</v>
      </c>
      <c r="F34" s="12">
        <v>45689</v>
      </c>
      <c r="G34" s="1" t="s">
        <v>32</v>
      </c>
      <c r="H34" s="1" t="s">
        <v>33</v>
      </c>
      <c r="I34" s="2">
        <v>3</v>
      </c>
      <c r="J34" s="3">
        <v>10056</v>
      </c>
      <c r="K34" s="3">
        <v>30168</v>
      </c>
      <c r="L34" s="3">
        <v>15532</v>
      </c>
      <c r="M34" s="3">
        <v>14636</v>
      </c>
      <c r="N34" s="4">
        <v>14</v>
      </c>
    </row>
    <row r="35" spans="1:14" x14ac:dyDescent="0.25">
      <c r="A35" s="2">
        <v>1</v>
      </c>
      <c r="B35" s="1" t="s">
        <v>12</v>
      </c>
      <c r="C35" s="1" t="s">
        <v>13</v>
      </c>
      <c r="D35" s="1" t="s">
        <v>18</v>
      </c>
      <c r="E35" s="11" t="s">
        <v>42</v>
      </c>
      <c r="F35" s="12">
        <v>45689</v>
      </c>
      <c r="G35" s="1" t="s">
        <v>32</v>
      </c>
      <c r="H35" s="1" t="s">
        <v>34</v>
      </c>
      <c r="I35" s="2">
        <v>14</v>
      </c>
      <c r="J35" s="3">
        <v>15882</v>
      </c>
      <c r="K35" s="3">
        <v>222348</v>
      </c>
      <c r="L35" s="3">
        <v>139686</v>
      </c>
      <c r="M35" s="3">
        <v>82662</v>
      </c>
      <c r="N35" s="4">
        <v>9</v>
      </c>
    </row>
    <row r="36" spans="1:14" x14ac:dyDescent="0.25">
      <c r="A36" s="2">
        <v>1</v>
      </c>
      <c r="B36" s="1" t="s">
        <v>12</v>
      </c>
      <c r="C36" s="1" t="s">
        <v>13</v>
      </c>
      <c r="D36" s="1" t="s">
        <v>18</v>
      </c>
      <c r="E36" s="11" t="s">
        <v>42</v>
      </c>
      <c r="F36" s="12">
        <v>45689</v>
      </c>
      <c r="G36" s="1" t="s">
        <v>32</v>
      </c>
      <c r="H36" s="1" t="s">
        <v>35</v>
      </c>
      <c r="I36" s="2">
        <v>14</v>
      </c>
      <c r="J36" s="3">
        <v>14062</v>
      </c>
      <c r="K36" s="3">
        <v>196868</v>
      </c>
      <c r="L36" s="3">
        <v>81135</v>
      </c>
      <c r="M36" s="3">
        <v>115733</v>
      </c>
      <c r="N36" s="4">
        <v>14</v>
      </c>
    </row>
    <row r="37" spans="1:14" x14ac:dyDescent="0.25">
      <c r="A37" s="2">
        <v>1</v>
      </c>
      <c r="B37" s="1" t="s">
        <v>12</v>
      </c>
      <c r="C37" s="1" t="s">
        <v>13</v>
      </c>
      <c r="D37" s="1" t="s">
        <v>14</v>
      </c>
      <c r="E37" s="11" t="s">
        <v>42</v>
      </c>
      <c r="F37" s="12">
        <v>45689</v>
      </c>
      <c r="G37" s="1" t="s">
        <v>32</v>
      </c>
      <c r="H37" s="1" t="s">
        <v>36</v>
      </c>
      <c r="I37" s="2">
        <v>15</v>
      </c>
      <c r="J37" s="3">
        <v>10977</v>
      </c>
      <c r="K37" s="3">
        <v>164655</v>
      </c>
      <c r="L37" s="3">
        <v>67117</v>
      </c>
      <c r="M37" s="3">
        <v>97538</v>
      </c>
      <c r="N37" s="4">
        <v>12</v>
      </c>
    </row>
    <row r="38" spans="1:14" x14ac:dyDescent="0.25">
      <c r="A38" s="2">
        <v>1</v>
      </c>
      <c r="B38" s="1" t="s">
        <v>12</v>
      </c>
      <c r="C38" s="1" t="s">
        <v>13</v>
      </c>
      <c r="D38" s="1" t="s">
        <v>18</v>
      </c>
      <c r="E38" s="11" t="s">
        <v>42</v>
      </c>
      <c r="F38" s="12">
        <v>45689</v>
      </c>
      <c r="G38" s="1" t="s">
        <v>37</v>
      </c>
      <c r="H38" s="1" t="s">
        <v>38</v>
      </c>
      <c r="I38" s="2">
        <v>19</v>
      </c>
      <c r="J38" s="3">
        <v>134238</v>
      </c>
      <c r="K38" s="3">
        <v>2550522</v>
      </c>
      <c r="L38" s="3">
        <v>1705608</v>
      </c>
      <c r="M38" s="3">
        <v>844914</v>
      </c>
      <c r="N38" s="4">
        <v>0</v>
      </c>
    </row>
    <row r="39" spans="1:14" x14ac:dyDescent="0.25">
      <c r="A39" s="2">
        <v>1</v>
      </c>
      <c r="B39" s="1" t="s">
        <v>12</v>
      </c>
      <c r="C39" s="1" t="s">
        <v>13</v>
      </c>
      <c r="D39" s="1" t="s">
        <v>18</v>
      </c>
      <c r="E39" s="11" t="s">
        <v>42</v>
      </c>
      <c r="F39" s="12">
        <v>45689</v>
      </c>
      <c r="G39" s="1" t="s">
        <v>37</v>
      </c>
      <c r="H39" s="1" t="s">
        <v>39</v>
      </c>
      <c r="I39" s="2">
        <v>4</v>
      </c>
      <c r="J39" s="3">
        <v>38141</v>
      </c>
      <c r="K39" s="3">
        <v>152564</v>
      </c>
      <c r="L39" s="3">
        <v>67402</v>
      </c>
      <c r="M39" s="3">
        <v>85162</v>
      </c>
      <c r="N39" s="4">
        <v>6</v>
      </c>
    </row>
    <row r="40" spans="1:14" x14ac:dyDescent="0.25">
      <c r="A40" s="2">
        <v>1</v>
      </c>
      <c r="B40" s="1" t="s">
        <v>12</v>
      </c>
      <c r="C40" s="1" t="s">
        <v>13</v>
      </c>
      <c r="D40" s="1" t="s">
        <v>14</v>
      </c>
      <c r="E40" s="11" t="s">
        <v>42</v>
      </c>
      <c r="F40" s="12">
        <v>45689</v>
      </c>
      <c r="G40" s="1" t="s">
        <v>37</v>
      </c>
      <c r="H40" s="1" t="s">
        <v>40</v>
      </c>
      <c r="I40" s="2">
        <v>13</v>
      </c>
      <c r="J40" s="3">
        <v>87214</v>
      </c>
      <c r="K40" s="3">
        <v>1133782</v>
      </c>
      <c r="L40" s="3">
        <v>710501</v>
      </c>
      <c r="M40" s="3">
        <v>423281</v>
      </c>
      <c r="N40" s="4">
        <v>3</v>
      </c>
    </row>
    <row r="41" spans="1:14" x14ac:dyDescent="0.25">
      <c r="A41" s="2">
        <v>1</v>
      </c>
      <c r="B41" s="1" t="s">
        <v>12</v>
      </c>
      <c r="C41" s="1" t="s">
        <v>13</v>
      </c>
      <c r="D41" s="1" t="s">
        <v>18</v>
      </c>
      <c r="E41" s="11" t="s">
        <v>42</v>
      </c>
      <c r="F41" s="12">
        <v>45689</v>
      </c>
      <c r="G41" s="1" t="s">
        <v>37</v>
      </c>
      <c r="H41" s="1" t="s">
        <v>41</v>
      </c>
      <c r="I41" s="2">
        <v>13</v>
      </c>
      <c r="J41" s="3">
        <v>82623</v>
      </c>
      <c r="K41" s="3">
        <v>1074099</v>
      </c>
      <c r="L41" s="3">
        <v>622611</v>
      </c>
      <c r="M41" s="3">
        <v>451488</v>
      </c>
      <c r="N41" s="4">
        <v>2</v>
      </c>
    </row>
    <row r="42" spans="1:14" x14ac:dyDescent="0.25">
      <c r="A42" s="2">
        <v>1</v>
      </c>
      <c r="B42" s="1" t="s">
        <v>12</v>
      </c>
      <c r="C42" s="1" t="s">
        <v>13</v>
      </c>
      <c r="D42" s="1" t="s">
        <v>14</v>
      </c>
      <c r="E42" s="11" t="s">
        <v>43</v>
      </c>
      <c r="F42" s="12">
        <v>45717</v>
      </c>
      <c r="G42" s="1" t="s">
        <v>16</v>
      </c>
      <c r="H42" s="1" t="s">
        <v>17</v>
      </c>
      <c r="I42" s="2">
        <v>2</v>
      </c>
      <c r="J42" s="3">
        <v>129225</v>
      </c>
      <c r="K42" s="3">
        <v>258450</v>
      </c>
      <c r="L42" s="3">
        <v>166037</v>
      </c>
      <c r="M42" s="3">
        <v>92413</v>
      </c>
      <c r="N42" s="4">
        <v>8</v>
      </c>
    </row>
    <row r="43" spans="1:14" x14ac:dyDescent="0.25">
      <c r="A43" s="2">
        <v>1</v>
      </c>
      <c r="B43" s="1" t="s">
        <v>12</v>
      </c>
      <c r="C43" s="1" t="s">
        <v>13</v>
      </c>
      <c r="D43" s="1" t="s">
        <v>14</v>
      </c>
      <c r="E43" s="11" t="s">
        <v>43</v>
      </c>
      <c r="F43" s="12">
        <v>45717</v>
      </c>
      <c r="G43" s="1" t="s">
        <v>16</v>
      </c>
      <c r="H43" s="1" t="s">
        <v>19</v>
      </c>
      <c r="I43" s="2">
        <v>6</v>
      </c>
      <c r="J43" s="3">
        <v>115003</v>
      </c>
      <c r="K43" s="3">
        <v>690018</v>
      </c>
      <c r="L43" s="3">
        <v>442371</v>
      </c>
      <c r="M43" s="3">
        <v>247647</v>
      </c>
      <c r="N43" s="4">
        <v>11</v>
      </c>
    </row>
    <row r="44" spans="1:14" x14ac:dyDescent="0.25">
      <c r="A44" s="2">
        <v>1</v>
      </c>
      <c r="B44" s="1" t="s">
        <v>12</v>
      </c>
      <c r="C44" s="1" t="s">
        <v>13</v>
      </c>
      <c r="D44" s="1" t="s">
        <v>14</v>
      </c>
      <c r="E44" s="11" t="s">
        <v>43</v>
      </c>
      <c r="F44" s="12">
        <v>45717</v>
      </c>
      <c r="G44" s="1" t="s">
        <v>16</v>
      </c>
      <c r="H44" s="1" t="s">
        <v>20</v>
      </c>
      <c r="I44" s="2">
        <v>11</v>
      </c>
      <c r="J44" s="3">
        <v>38047</v>
      </c>
      <c r="K44" s="3">
        <v>418517</v>
      </c>
      <c r="L44" s="3">
        <v>268785</v>
      </c>
      <c r="M44" s="3">
        <v>149732</v>
      </c>
      <c r="N44" s="4">
        <v>11</v>
      </c>
    </row>
    <row r="45" spans="1:14" x14ac:dyDescent="0.25">
      <c r="A45" s="2">
        <v>1</v>
      </c>
      <c r="B45" s="1" t="s">
        <v>12</v>
      </c>
      <c r="C45" s="1" t="s">
        <v>13</v>
      </c>
      <c r="D45" s="1" t="s">
        <v>18</v>
      </c>
      <c r="E45" s="11" t="s">
        <v>43</v>
      </c>
      <c r="F45" s="12">
        <v>45717</v>
      </c>
      <c r="G45" s="1" t="s">
        <v>16</v>
      </c>
      <c r="H45" s="1" t="s">
        <v>21</v>
      </c>
      <c r="I45" s="2">
        <v>7</v>
      </c>
      <c r="J45" s="3">
        <v>145117</v>
      </c>
      <c r="K45" s="3">
        <v>1015819</v>
      </c>
      <c r="L45" s="3">
        <v>439865</v>
      </c>
      <c r="M45" s="3">
        <v>575954</v>
      </c>
      <c r="N45" s="4">
        <v>8</v>
      </c>
    </row>
    <row r="46" spans="1:14" x14ac:dyDescent="0.25">
      <c r="A46" s="2">
        <v>1</v>
      </c>
      <c r="B46" s="1" t="s">
        <v>12</v>
      </c>
      <c r="C46" s="1" t="s">
        <v>13</v>
      </c>
      <c r="D46" s="1" t="s">
        <v>18</v>
      </c>
      <c r="E46" s="11" t="s">
        <v>43</v>
      </c>
      <c r="F46" s="12">
        <v>45717</v>
      </c>
      <c r="G46" s="1" t="s">
        <v>22</v>
      </c>
      <c r="H46" s="1" t="s">
        <v>23</v>
      </c>
      <c r="I46" s="2">
        <v>13</v>
      </c>
      <c r="J46" s="3">
        <v>75016</v>
      </c>
      <c r="K46" s="3">
        <v>975208</v>
      </c>
      <c r="L46" s="3">
        <v>479250</v>
      </c>
      <c r="M46" s="3">
        <v>495958</v>
      </c>
      <c r="N46" s="4">
        <v>5</v>
      </c>
    </row>
    <row r="47" spans="1:14" x14ac:dyDescent="0.25">
      <c r="A47" s="2">
        <v>1</v>
      </c>
      <c r="B47" s="1" t="s">
        <v>12</v>
      </c>
      <c r="C47" s="1" t="s">
        <v>13</v>
      </c>
      <c r="D47" s="1" t="s">
        <v>18</v>
      </c>
      <c r="E47" s="11" t="s">
        <v>43</v>
      </c>
      <c r="F47" s="12">
        <v>45717</v>
      </c>
      <c r="G47" s="1" t="s">
        <v>22</v>
      </c>
      <c r="H47" s="1" t="s">
        <v>24</v>
      </c>
      <c r="I47" s="2">
        <v>8</v>
      </c>
      <c r="J47" s="3">
        <v>25530</v>
      </c>
      <c r="K47" s="3">
        <v>204240</v>
      </c>
      <c r="L47" s="3">
        <v>107271</v>
      </c>
      <c r="M47" s="3">
        <v>96969</v>
      </c>
      <c r="N47" s="4">
        <v>4</v>
      </c>
    </row>
    <row r="48" spans="1:14" x14ac:dyDescent="0.25">
      <c r="A48" s="2">
        <v>1</v>
      </c>
      <c r="B48" s="1" t="s">
        <v>12</v>
      </c>
      <c r="C48" s="1" t="s">
        <v>13</v>
      </c>
      <c r="D48" s="1" t="s">
        <v>18</v>
      </c>
      <c r="E48" s="11" t="s">
        <v>43</v>
      </c>
      <c r="F48" s="12">
        <v>45717</v>
      </c>
      <c r="G48" s="1" t="s">
        <v>22</v>
      </c>
      <c r="H48" s="1" t="s">
        <v>25</v>
      </c>
      <c r="I48" s="2">
        <v>1</v>
      </c>
      <c r="J48" s="3">
        <v>118098</v>
      </c>
      <c r="K48" s="3">
        <v>118098</v>
      </c>
      <c r="L48" s="3">
        <v>56784</v>
      </c>
      <c r="M48" s="3">
        <v>61314</v>
      </c>
      <c r="N48" s="4">
        <v>7</v>
      </c>
    </row>
    <row r="49" spans="1:14" x14ac:dyDescent="0.25">
      <c r="A49" s="2">
        <v>1</v>
      </c>
      <c r="B49" s="1" t="s">
        <v>12</v>
      </c>
      <c r="C49" s="1" t="s">
        <v>13</v>
      </c>
      <c r="D49" s="1" t="s">
        <v>18</v>
      </c>
      <c r="E49" s="11" t="s">
        <v>43</v>
      </c>
      <c r="F49" s="12">
        <v>45717</v>
      </c>
      <c r="G49" s="1" t="s">
        <v>22</v>
      </c>
      <c r="H49" s="1" t="s">
        <v>26</v>
      </c>
      <c r="I49" s="2">
        <v>15</v>
      </c>
      <c r="J49" s="3">
        <v>93530</v>
      </c>
      <c r="K49" s="3">
        <v>1402950</v>
      </c>
      <c r="L49" s="3">
        <v>697211</v>
      </c>
      <c r="M49" s="3">
        <v>705739</v>
      </c>
      <c r="N49" s="4">
        <v>7</v>
      </c>
    </row>
    <row r="50" spans="1:14" x14ac:dyDescent="0.25">
      <c r="A50" s="2">
        <v>1</v>
      </c>
      <c r="B50" s="1" t="s">
        <v>12</v>
      </c>
      <c r="C50" s="1" t="s">
        <v>13</v>
      </c>
      <c r="D50" s="1" t="s">
        <v>14</v>
      </c>
      <c r="E50" s="11" t="s">
        <v>43</v>
      </c>
      <c r="F50" s="12">
        <v>45717</v>
      </c>
      <c r="G50" s="1" t="s">
        <v>27</v>
      </c>
      <c r="H50" s="1" t="s">
        <v>28</v>
      </c>
      <c r="I50" s="2">
        <v>9</v>
      </c>
      <c r="J50" s="3">
        <v>138451</v>
      </c>
      <c r="K50" s="3">
        <v>1246059</v>
      </c>
      <c r="L50" s="3">
        <v>634354</v>
      </c>
      <c r="M50" s="3">
        <v>611705</v>
      </c>
      <c r="N50" s="4">
        <v>0</v>
      </c>
    </row>
    <row r="51" spans="1:14" x14ac:dyDescent="0.25">
      <c r="A51" s="2">
        <v>1</v>
      </c>
      <c r="B51" s="1" t="s">
        <v>12</v>
      </c>
      <c r="C51" s="1" t="s">
        <v>13</v>
      </c>
      <c r="D51" s="1" t="s">
        <v>18</v>
      </c>
      <c r="E51" s="11" t="s">
        <v>43</v>
      </c>
      <c r="F51" s="12">
        <v>45717</v>
      </c>
      <c r="G51" s="1" t="s">
        <v>27</v>
      </c>
      <c r="H51" s="1" t="s">
        <v>29</v>
      </c>
      <c r="I51" s="2">
        <v>12</v>
      </c>
      <c r="J51" s="3">
        <v>72733</v>
      </c>
      <c r="K51" s="3">
        <v>872796</v>
      </c>
      <c r="L51" s="3">
        <v>531437</v>
      </c>
      <c r="M51" s="3">
        <v>341359</v>
      </c>
      <c r="N51" s="4">
        <v>2</v>
      </c>
    </row>
    <row r="52" spans="1:14" x14ac:dyDescent="0.25">
      <c r="A52" s="2">
        <v>1</v>
      </c>
      <c r="B52" s="1" t="s">
        <v>12</v>
      </c>
      <c r="C52" s="1" t="s">
        <v>13</v>
      </c>
      <c r="D52" s="1" t="s">
        <v>14</v>
      </c>
      <c r="E52" s="11" t="s">
        <v>43</v>
      </c>
      <c r="F52" s="12">
        <v>45717</v>
      </c>
      <c r="G52" s="1" t="s">
        <v>27</v>
      </c>
      <c r="H52" s="1" t="s">
        <v>30</v>
      </c>
      <c r="I52" s="2">
        <v>17</v>
      </c>
      <c r="J52" s="3">
        <v>87172</v>
      </c>
      <c r="K52" s="3">
        <v>1481924</v>
      </c>
      <c r="L52" s="3">
        <v>719403</v>
      </c>
      <c r="M52" s="3">
        <v>762521</v>
      </c>
      <c r="N52" s="4">
        <v>0</v>
      </c>
    </row>
    <row r="53" spans="1:14" x14ac:dyDescent="0.25">
      <c r="A53" s="2">
        <v>1</v>
      </c>
      <c r="B53" s="1" t="s">
        <v>12</v>
      </c>
      <c r="C53" s="1" t="s">
        <v>13</v>
      </c>
      <c r="D53" s="1" t="s">
        <v>18</v>
      </c>
      <c r="E53" s="11" t="s">
        <v>43</v>
      </c>
      <c r="F53" s="12">
        <v>45717</v>
      </c>
      <c r="G53" s="1" t="s">
        <v>27</v>
      </c>
      <c r="H53" s="1" t="s">
        <v>31</v>
      </c>
      <c r="I53" s="2">
        <v>17</v>
      </c>
      <c r="J53" s="3">
        <v>114209</v>
      </c>
      <c r="K53" s="3">
        <v>1941553</v>
      </c>
      <c r="L53" s="3">
        <v>1069414</v>
      </c>
      <c r="M53" s="3">
        <v>872139</v>
      </c>
      <c r="N53" s="4">
        <v>5</v>
      </c>
    </row>
    <row r="54" spans="1:14" x14ac:dyDescent="0.25">
      <c r="A54" s="2">
        <v>1</v>
      </c>
      <c r="B54" s="1" t="s">
        <v>12</v>
      </c>
      <c r="C54" s="1" t="s">
        <v>13</v>
      </c>
      <c r="D54" s="1" t="s">
        <v>18</v>
      </c>
      <c r="E54" s="11" t="s">
        <v>43</v>
      </c>
      <c r="F54" s="12">
        <v>45717</v>
      </c>
      <c r="G54" s="1" t="s">
        <v>32</v>
      </c>
      <c r="H54" s="1" t="s">
        <v>33</v>
      </c>
      <c r="I54" s="2">
        <v>5</v>
      </c>
      <c r="J54" s="3">
        <v>10855</v>
      </c>
      <c r="K54" s="3">
        <v>54275</v>
      </c>
      <c r="L54" s="3">
        <v>36498</v>
      </c>
      <c r="M54" s="3">
        <v>17777</v>
      </c>
      <c r="N54" s="4">
        <v>2</v>
      </c>
    </row>
    <row r="55" spans="1:14" x14ac:dyDescent="0.25">
      <c r="A55" s="2">
        <v>1</v>
      </c>
      <c r="B55" s="1" t="s">
        <v>12</v>
      </c>
      <c r="C55" s="1" t="s">
        <v>13</v>
      </c>
      <c r="D55" s="1" t="s">
        <v>18</v>
      </c>
      <c r="E55" s="11" t="s">
        <v>43</v>
      </c>
      <c r="F55" s="12">
        <v>45717</v>
      </c>
      <c r="G55" s="1" t="s">
        <v>32</v>
      </c>
      <c r="H55" s="1" t="s">
        <v>34</v>
      </c>
      <c r="I55" s="2">
        <v>2</v>
      </c>
      <c r="J55" s="3">
        <v>10172</v>
      </c>
      <c r="K55" s="3">
        <v>20344</v>
      </c>
      <c r="L55" s="3">
        <v>11124</v>
      </c>
      <c r="M55" s="3">
        <v>9220</v>
      </c>
      <c r="N55" s="4">
        <v>5</v>
      </c>
    </row>
    <row r="56" spans="1:14" x14ac:dyDescent="0.25">
      <c r="A56" s="2">
        <v>1</v>
      </c>
      <c r="B56" s="1" t="s">
        <v>12</v>
      </c>
      <c r="C56" s="1" t="s">
        <v>13</v>
      </c>
      <c r="D56" s="1" t="s">
        <v>14</v>
      </c>
      <c r="E56" s="11" t="s">
        <v>43</v>
      </c>
      <c r="F56" s="12">
        <v>45717</v>
      </c>
      <c r="G56" s="1" t="s">
        <v>32</v>
      </c>
      <c r="H56" s="1" t="s">
        <v>35</v>
      </c>
      <c r="I56" s="2">
        <v>4</v>
      </c>
      <c r="J56" s="3">
        <v>8510</v>
      </c>
      <c r="K56" s="3">
        <v>34040</v>
      </c>
      <c r="L56" s="3">
        <v>21393</v>
      </c>
      <c r="M56" s="3">
        <v>12647</v>
      </c>
      <c r="N56" s="4">
        <v>10</v>
      </c>
    </row>
    <row r="57" spans="1:14" x14ac:dyDescent="0.25">
      <c r="A57" s="2">
        <v>1</v>
      </c>
      <c r="B57" s="1" t="s">
        <v>12</v>
      </c>
      <c r="C57" s="1" t="s">
        <v>13</v>
      </c>
      <c r="D57" s="1" t="s">
        <v>18</v>
      </c>
      <c r="E57" s="11" t="s">
        <v>43</v>
      </c>
      <c r="F57" s="12">
        <v>45717</v>
      </c>
      <c r="G57" s="1" t="s">
        <v>32</v>
      </c>
      <c r="H57" s="1" t="s">
        <v>36</v>
      </c>
      <c r="I57" s="2">
        <v>17</v>
      </c>
      <c r="J57" s="3">
        <v>13958</v>
      </c>
      <c r="K57" s="3">
        <v>237286</v>
      </c>
      <c r="L57" s="3">
        <v>152086</v>
      </c>
      <c r="M57" s="3">
        <v>85200</v>
      </c>
      <c r="N57" s="4">
        <v>4</v>
      </c>
    </row>
    <row r="58" spans="1:14" x14ac:dyDescent="0.25">
      <c r="A58" s="2">
        <v>1</v>
      </c>
      <c r="B58" s="1" t="s">
        <v>12</v>
      </c>
      <c r="C58" s="1" t="s">
        <v>13</v>
      </c>
      <c r="D58" s="1" t="s">
        <v>14</v>
      </c>
      <c r="E58" s="11" t="s">
        <v>43</v>
      </c>
      <c r="F58" s="12">
        <v>45717</v>
      </c>
      <c r="G58" s="1" t="s">
        <v>37</v>
      </c>
      <c r="H58" s="1" t="s">
        <v>38</v>
      </c>
      <c r="I58" s="2">
        <v>2</v>
      </c>
      <c r="J58" s="3">
        <v>85733</v>
      </c>
      <c r="K58" s="3">
        <v>171466</v>
      </c>
      <c r="L58" s="3">
        <v>89101</v>
      </c>
      <c r="M58" s="3">
        <v>82365</v>
      </c>
      <c r="N58" s="4">
        <v>14</v>
      </c>
    </row>
    <row r="59" spans="1:14" x14ac:dyDescent="0.25">
      <c r="A59" s="2">
        <v>1</v>
      </c>
      <c r="B59" s="1" t="s">
        <v>12</v>
      </c>
      <c r="C59" s="1" t="s">
        <v>13</v>
      </c>
      <c r="D59" s="1" t="s">
        <v>14</v>
      </c>
      <c r="E59" s="11" t="s">
        <v>43</v>
      </c>
      <c r="F59" s="12">
        <v>45717</v>
      </c>
      <c r="G59" s="1" t="s">
        <v>37</v>
      </c>
      <c r="H59" s="1" t="s">
        <v>39</v>
      </c>
      <c r="I59" s="2">
        <v>16</v>
      </c>
      <c r="J59" s="3">
        <v>42671</v>
      </c>
      <c r="K59" s="3">
        <v>682736</v>
      </c>
      <c r="L59" s="3">
        <v>444181</v>
      </c>
      <c r="M59" s="3">
        <v>238555</v>
      </c>
      <c r="N59" s="4">
        <v>11</v>
      </c>
    </row>
    <row r="60" spans="1:14" x14ac:dyDescent="0.25">
      <c r="A60" s="2">
        <v>1</v>
      </c>
      <c r="B60" s="1" t="s">
        <v>12</v>
      </c>
      <c r="C60" s="1" t="s">
        <v>13</v>
      </c>
      <c r="D60" s="1" t="s">
        <v>14</v>
      </c>
      <c r="E60" s="11" t="s">
        <v>43</v>
      </c>
      <c r="F60" s="12">
        <v>45717</v>
      </c>
      <c r="G60" s="1" t="s">
        <v>37</v>
      </c>
      <c r="H60" s="1" t="s">
        <v>40</v>
      </c>
      <c r="I60" s="2">
        <v>6</v>
      </c>
      <c r="J60" s="3">
        <v>71663</v>
      </c>
      <c r="K60" s="3">
        <v>429978</v>
      </c>
      <c r="L60" s="3">
        <v>177250</v>
      </c>
      <c r="M60" s="3">
        <v>252728</v>
      </c>
      <c r="N60" s="4">
        <v>3</v>
      </c>
    </row>
    <row r="61" spans="1:14" x14ac:dyDescent="0.25">
      <c r="A61" s="2">
        <v>1</v>
      </c>
      <c r="B61" s="1" t="s">
        <v>12</v>
      </c>
      <c r="C61" s="1" t="s">
        <v>13</v>
      </c>
      <c r="D61" s="1" t="s">
        <v>18</v>
      </c>
      <c r="E61" s="11" t="s">
        <v>43</v>
      </c>
      <c r="F61" s="12">
        <v>45717</v>
      </c>
      <c r="G61" s="1" t="s">
        <v>37</v>
      </c>
      <c r="H61" s="1" t="s">
        <v>41</v>
      </c>
      <c r="I61" s="2">
        <v>4</v>
      </c>
      <c r="J61" s="3">
        <v>92082</v>
      </c>
      <c r="K61" s="3">
        <v>368328</v>
      </c>
      <c r="L61" s="3">
        <v>225912</v>
      </c>
      <c r="M61" s="3">
        <v>142416</v>
      </c>
      <c r="N61" s="4">
        <v>14</v>
      </c>
    </row>
    <row r="62" spans="1:14" x14ac:dyDescent="0.25">
      <c r="A62" s="2">
        <v>1</v>
      </c>
      <c r="B62" s="1" t="s">
        <v>12</v>
      </c>
      <c r="C62" s="1" t="s">
        <v>13</v>
      </c>
      <c r="D62" s="1" t="s">
        <v>14</v>
      </c>
      <c r="E62" s="11" t="s">
        <v>44</v>
      </c>
      <c r="F62" s="12">
        <v>45748</v>
      </c>
      <c r="G62" s="1" t="s">
        <v>16</v>
      </c>
      <c r="H62" s="1" t="s">
        <v>17</v>
      </c>
      <c r="I62" s="2">
        <v>19</v>
      </c>
      <c r="J62" s="3">
        <v>31411</v>
      </c>
      <c r="K62" s="3">
        <v>596809</v>
      </c>
      <c r="L62" s="3">
        <v>354237</v>
      </c>
      <c r="M62" s="3">
        <v>242572</v>
      </c>
      <c r="N62" s="4">
        <v>3</v>
      </c>
    </row>
    <row r="63" spans="1:14" x14ac:dyDescent="0.25">
      <c r="A63" s="2">
        <v>1</v>
      </c>
      <c r="B63" s="1" t="s">
        <v>12</v>
      </c>
      <c r="C63" s="1" t="s">
        <v>13</v>
      </c>
      <c r="D63" s="1" t="s">
        <v>14</v>
      </c>
      <c r="E63" s="11" t="s">
        <v>44</v>
      </c>
      <c r="F63" s="12">
        <v>45748</v>
      </c>
      <c r="G63" s="1" t="s">
        <v>16</v>
      </c>
      <c r="H63" s="1" t="s">
        <v>19</v>
      </c>
      <c r="I63" s="2">
        <v>9</v>
      </c>
      <c r="J63" s="3">
        <v>104896</v>
      </c>
      <c r="K63" s="3">
        <v>944064</v>
      </c>
      <c r="L63" s="3">
        <v>490225</v>
      </c>
      <c r="M63" s="3">
        <v>453839</v>
      </c>
      <c r="N63" s="4">
        <v>6</v>
      </c>
    </row>
    <row r="64" spans="1:14" x14ac:dyDescent="0.25">
      <c r="A64" s="2">
        <v>1</v>
      </c>
      <c r="B64" s="1" t="s">
        <v>12</v>
      </c>
      <c r="C64" s="1" t="s">
        <v>13</v>
      </c>
      <c r="D64" s="1" t="s">
        <v>18</v>
      </c>
      <c r="E64" s="11" t="s">
        <v>44</v>
      </c>
      <c r="F64" s="12">
        <v>45748</v>
      </c>
      <c r="G64" s="1" t="s">
        <v>16</v>
      </c>
      <c r="H64" s="1" t="s">
        <v>20</v>
      </c>
      <c r="I64" s="2">
        <v>18</v>
      </c>
      <c r="J64" s="3">
        <v>31111</v>
      </c>
      <c r="K64" s="3">
        <v>559998</v>
      </c>
      <c r="L64" s="3">
        <v>247102</v>
      </c>
      <c r="M64" s="3">
        <v>312896</v>
      </c>
      <c r="N64" s="4">
        <v>11</v>
      </c>
    </row>
    <row r="65" spans="1:14" x14ac:dyDescent="0.25">
      <c r="A65" s="2">
        <v>1</v>
      </c>
      <c r="B65" s="1" t="s">
        <v>12</v>
      </c>
      <c r="C65" s="1" t="s">
        <v>13</v>
      </c>
      <c r="D65" s="1" t="s">
        <v>18</v>
      </c>
      <c r="E65" s="11" t="s">
        <v>44</v>
      </c>
      <c r="F65" s="12">
        <v>45748</v>
      </c>
      <c r="G65" s="1" t="s">
        <v>16</v>
      </c>
      <c r="H65" s="1" t="s">
        <v>21</v>
      </c>
      <c r="I65" s="2">
        <v>18</v>
      </c>
      <c r="J65" s="3">
        <v>67254</v>
      </c>
      <c r="K65" s="3">
        <v>1210572</v>
      </c>
      <c r="L65" s="3">
        <v>680867</v>
      </c>
      <c r="M65" s="3">
        <v>529705</v>
      </c>
      <c r="N65" s="4">
        <v>9</v>
      </c>
    </row>
    <row r="66" spans="1:14" x14ac:dyDescent="0.25">
      <c r="A66" s="2">
        <v>1</v>
      </c>
      <c r="B66" s="1" t="s">
        <v>12</v>
      </c>
      <c r="C66" s="1" t="s">
        <v>13</v>
      </c>
      <c r="D66" s="1" t="s">
        <v>14</v>
      </c>
      <c r="E66" s="11" t="s">
        <v>44</v>
      </c>
      <c r="F66" s="12">
        <v>45748</v>
      </c>
      <c r="G66" s="1" t="s">
        <v>22</v>
      </c>
      <c r="H66" s="1" t="s">
        <v>23</v>
      </c>
      <c r="I66" s="2">
        <v>3</v>
      </c>
      <c r="J66" s="3">
        <v>36646</v>
      </c>
      <c r="K66" s="3">
        <v>109938</v>
      </c>
      <c r="L66" s="3">
        <v>65742</v>
      </c>
      <c r="M66" s="3">
        <v>44196</v>
      </c>
      <c r="N66" s="4">
        <v>9</v>
      </c>
    </row>
    <row r="67" spans="1:14" x14ac:dyDescent="0.25">
      <c r="A67" s="2">
        <v>1</v>
      </c>
      <c r="B67" s="1" t="s">
        <v>12</v>
      </c>
      <c r="C67" s="1" t="s">
        <v>13</v>
      </c>
      <c r="D67" s="1" t="s">
        <v>14</v>
      </c>
      <c r="E67" s="11" t="s">
        <v>44</v>
      </c>
      <c r="F67" s="12">
        <v>45748</v>
      </c>
      <c r="G67" s="1" t="s">
        <v>22</v>
      </c>
      <c r="H67" s="1" t="s">
        <v>24</v>
      </c>
      <c r="I67" s="2">
        <v>16</v>
      </c>
      <c r="J67" s="3">
        <v>127512</v>
      </c>
      <c r="K67" s="3">
        <v>2040192</v>
      </c>
      <c r="L67" s="3">
        <v>1132287</v>
      </c>
      <c r="M67" s="3">
        <v>907905</v>
      </c>
      <c r="N67" s="4">
        <v>0</v>
      </c>
    </row>
    <row r="68" spans="1:14" x14ac:dyDescent="0.25">
      <c r="A68" s="2">
        <v>1</v>
      </c>
      <c r="B68" s="1" t="s">
        <v>12</v>
      </c>
      <c r="C68" s="1" t="s">
        <v>13</v>
      </c>
      <c r="D68" s="1" t="s">
        <v>18</v>
      </c>
      <c r="E68" s="11" t="s">
        <v>44</v>
      </c>
      <c r="F68" s="12">
        <v>45748</v>
      </c>
      <c r="G68" s="1" t="s">
        <v>22</v>
      </c>
      <c r="H68" s="1" t="s">
        <v>25</v>
      </c>
      <c r="I68" s="2">
        <v>2</v>
      </c>
      <c r="J68" s="3">
        <v>51616</v>
      </c>
      <c r="K68" s="3">
        <v>103232</v>
      </c>
      <c r="L68" s="3">
        <v>44176</v>
      </c>
      <c r="M68" s="3">
        <v>59056</v>
      </c>
      <c r="N68" s="4">
        <v>11</v>
      </c>
    </row>
    <row r="69" spans="1:14" x14ac:dyDescent="0.25">
      <c r="A69" s="2">
        <v>1</v>
      </c>
      <c r="B69" s="1" t="s">
        <v>12</v>
      </c>
      <c r="C69" s="1" t="s">
        <v>13</v>
      </c>
      <c r="D69" s="1" t="s">
        <v>14</v>
      </c>
      <c r="E69" s="11" t="s">
        <v>44</v>
      </c>
      <c r="F69" s="12">
        <v>45748</v>
      </c>
      <c r="G69" s="1" t="s">
        <v>22</v>
      </c>
      <c r="H69" s="1" t="s">
        <v>26</v>
      </c>
      <c r="I69" s="2">
        <v>5</v>
      </c>
      <c r="J69" s="3">
        <v>137796</v>
      </c>
      <c r="K69" s="3">
        <v>688980</v>
      </c>
      <c r="L69" s="3">
        <v>458027</v>
      </c>
      <c r="M69" s="3">
        <v>230953</v>
      </c>
      <c r="N69" s="4">
        <v>6</v>
      </c>
    </row>
    <row r="70" spans="1:14" x14ac:dyDescent="0.25">
      <c r="A70" s="2">
        <v>1</v>
      </c>
      <c r="B70" s="1" t="s">
        <v>12</v>
      </c>
      <c r="C70" s="1" t="s">
        <v>13</v>
      </c>
      <c r="D70" s="1" t="s">
        <v>18</v>
      </c>
      <c r="E70" s="11" t="s">
        <v>44</v>
      </c>
      <c r="F70" s="12">
        <v>45748</v>
      </c>
      <c r="G70" s="1" t="s">
        <v>27</v>
      </c>
      <c r="H70" s="1" t="s">
        <v>28</v>
      </c>
      <c r="I70" s="2">
        <v>9</v>
      </c>
      <c r="J70" s="3">
        <v>27400</v>
      </c>
      <c r="K70" s="3">
        <v>246600</v>
      </c>
      <c r="L70" s="3">
        <v>124474</v>
      </c>
      <c r="M70" s="3">
        <v>122126</v>
      </c>
      <c r="N70" s="4">
        <v>2</v>
      </c>
    </row>
    <row r="71" spans="1:14" x14ac:dyDescent="0.25">
      <c r="A71" s="2">
        <v>1</v>
      </c>
      <c r="B71" s="1" t="s">
        <v>12</v>
      </c>
      <c r="C71" s="1" t="s">
        <v>13</v>
      </c>
      <c r="D71" s="1" t="s">
        <v>14</v>
      </c>
      <c r="E71" s="11" t="s">
        <v>44</v>
      </c>
      <c r="F71" s="12">
        <v>45748</v>
      </c>
      <c r="G71" s="1" t="s">
        <v>27</v>
      </c>
      <c r="H71" s="1" t="s">
        <v>29</v>
      </c>
      <c r="I71" s="2">
        <v>1</v>
      </c>
      <c r="J71" s="3">
        <v>32183</v>
      </c>
      <c r="K71" s="3">
        <v>32183</v>
      </c>
      <c r="L71" s="3">
        <v>21088</v>
      </c>
      <c r="M71" s="3">
        <v>11095</v>
      </c>
      <c r="N71" s="4">
        <v>0</v>
      </c>
    </row>
    <row r="72" spans="1:14" x14ac:dyDescent="0.25">
      <c r="A72" s="2">
        <v>1</v>
      </c>
      <c r="B72" s="1" t="s">
        <v>12</v>
      </c>
      <c r="C72" s="1" t="s">
        <v>13</v>
      </c>
      <c r="D72" s="1" t="s">
        <v>18</v>
      </c>
      <c r="E72" s="11" t="s">
        <v>44</v>
      </c>
      <c r="F72" s="12">
        <v>45748</v>
      </c>
      <c r="G72" s="1" t="s">
        <v>27</v>
      </c>
      <c r="H72" s="1" t="s">
        <v>30</v>
      </c>
      <c r="I72" s="2">
        <v>8</v>
      </c>
      <c r="J72" s="3">
        <v>25539</v>
      </c>
      <c r="K72" s="3">
        <v>204312</v>
      </c>
      <c r="L72" s="3">
        <v>136800</v>
      </c>
      <c r="M72" s="3">
        <v>67512</v>
      </c>
      <c r="N72" s="4">
        <v>3</v>
      </c>
    </row>
    <row r="73" spans="1:14" x14ac:dyDescent="0.25">
      <c r="A73" s="2">
        <v>1</v>
      </c>
      <c r="B73" s="1" t="s">
        <v>12</v>
      </c>
      <c r="C73" s="1" t="s">
        <v>13</v>
      </c>
      <c r="D73" s="1" t="s">
        <v>18</v>
      </c>
      <c r="E73" s="11" t="s">
        <v>44</v>
      </c>
      <c r="F73" s="12">
        <v>45748</v>
      </c>
      <c r="G73" s="1" t="s">
        <v>27</v>
      </c>
      <c r="H73" s="1" t="s">
        <v>31</v>
      </c>
      <c r="I73" s="2">
        <v>3</v>
      </c>
      <c r="J73" s="3">
        <v>146063</v>
      </c>
      <c r="K73" s="3">
        <v>438189</v>
      </c>
      <c r="L73" s="3">
        <v>188614</v>
      </c>
      <c r="M73" s="3">
        <v>249575</v>
      </c>
      <c r="N73" s="4">
        <v>2</v>
      </c>
    </row>
    <row r="74" spans="1:14" x14ac:dyDescent="0.25">
      <c r="A74" s="2">
        <v>1</v>
      </c>
      <c r="B74" s="1" t="s">
        <v>12</v>
      </c>
      <c r="C74" s="1" t="s">
        <v>13</v>
      </c>
      <c r="D74" s="1" t="s">
        <v>18</v>
      </c>
      <c r="E74" s="11" t="s">
        <v>44</v>
      </c>
      <c r="F74" s="12">
        <v>45748</v>
      </c>
      <c r="G74" s="1" t="s">
        <v>32</v>
      </c>
      <c r="H74" s="1" t="s">
        <v>33</v>
      </c>
      <c r="I74" s="2">
        <v>18</v>
      </c>
      <c r="J74" s="3">
        <v>19207</v>
      </c>
      <c r="K74" s="3">
        <v>345726</v>
      </c>
      <c r="L74" s="3">
        <v>169962</v>
      </c>
      <c r="M74" s="3">
        <v>175764</v>
      </c>
      <c r="N74" s="4">
        <v>1</v>
      </c>
    </row>
    <row r="75" spans="1:14" x14ac:dyDescent="0.25">
      <c r="A75" s="2">
        <v>1</v>
      </c>
      <c r="B75" s="1" t="s">
        <v>12</v>
      </c>
      <c r="C75" s="1" t="s">
        <v>13</v>
      </c>
      <c r="D75" s="1" t="s">
        <v>14</v>
      </c>
      <c r="E75" s="11" t="s">
        <v>44</v>
      </c>
      <c r="F75" s="12">
        <v>45748</v>
      </c>
      <c r="G75" s="1" t="s">
        <v>32</v>
      </c>
      <c r="H75" s="1" t="s">
        <v>34</v>
      </c>
      <c r="I75" s="2">
        <v>3</v>
      </c>
      <c r="J75" s="3">
        <v>16983</v>
      </c>
      <c r="K75" s="3">
        <v>50949</v>
      </c>
      <c r="L75" s="3">
        <v>35579</v>
      </c>
      <c r="M75" s="3">
        <v>15370</v>
      </c>
      <c r="N75" s="4">
        <v>3</v>
      </c>
    </row>
    <row r="76" spans="1:14" x14ac:dyDescent="0.25">
      <c r="A76" s="2">
        <v>1</v>
      </c>
      <c r="B76" s="1" t="s">
        <v>12</v>
      </c>
      <c r="C76" s="1" t="s">
        <v>13</v>
      </c>
      <c r="D76" s="1" t="s">
        <v>18</v>
      </c>
      <c r="E76" s="11" t="s">
        <v>44</v>
      </c>
      <c r="F76" s="12">
        <v>45748</v>
      </c>
      <c r="G76" s="1" t="s">
        <v>32</v>
      </c>
      <c r="H76" s="1" t="s">
        <v>35</v>
      </c>
      <c r="I76" s="2">
        <v>1</v>
      </c>
      <c r="J76" s="3">
        <v>10699</v>
      </c>
      <c r="K76" s="3">
        <v>10699</v>
      </c>
      <c r="L76" s="3">
        <v>5041</v>
      </c>
      <c r="M76" s="3">
        <v>5658</v>
      </c>
      <c r="N76" s="4">
        <v>4</v>
      </c>
    </row>
    <row r="77" spans="1:14" x14ac:dyDescent="0.25">
      <c r="A77" s="2">
        <v>1</v>
      </c>
      <c r="B77" s="1" t="s">
        <v>12</v>
      </c>
      <c r="C77" s="1" t="s">
        <v>13</v>
      </c>
      <c r="D77" s="1" t="s">
        <v>14</v>
      </c>
      <c r="E77" s="11" t="s">
        <v>44</v>
      </c>
      <c r="F77" s="12">
        <v>45748</v>
      </c>
      <c r="G77" s="1" t="s">
        <v>32</v>
      </c>
      <c r="H77" s="1" t="s">
        <v>36</v>
      </c>
      <c r="I77" s="2">
        <v>16</v>
      </c>
      <c r="J77" s="3">
        <v>8987</v>
      </c>
      <c r="K77" s="3">
        <v>143792</v>
      </c>
      <c r="L77" s="3">
        <v>73325</v>
      </c>
      <c r="M77" s="3">
        <v>70467</v>
      </c>
      <c r="N77" s="4">
        <v>7</v>
      </c>
    </row>
    <row r="78" spans="1:14" x14ac:dyDescent="0.25">
      <c r="A78" s="2">
        <v>1</v>
      </c>
      <c r="B78" s="1" t="s">
        <v>12</v>
      </c>
      <c r="C78" s="1" t="s">
        <v>13</v>
      </c>
      <c r="D78" s="1" t="s">
        <v>18</v>
      </c>
      <c r="E78" s="11" t="s">
        <v>44</v>
      </c>
      <c r="F78" s="12">
        <v>45748</v>
      </c>
      <c r="G78" s="1" t="s">
        <v>37</v>
      </c>
      <c r="H78" s="1" t="s">
        <v>38</v>
      </c>
      <c r="I78" s="2">
        <v>7</v>
      </c>
      <c r="J78" s="3">
        <v>119522</v>
      </c>
      <c r="K78" s="3">
        <v>836654</v>
      </c>
      <c r="L78" s="3">
        <v>499719</v>
      </c>
      <c r="M78" s="3">
        <v>336935</v>
      </c>
      <c r="N78" s="4">
        <v>0</v>
      </c>
    </row>
    <row r="79" spans="1:14" x14ac:dyDescent="0.25">
      <c r="A79" s="2">
        <v>1</v>
      </c>
      <c r="B79" s="1" t="s">
        <v>12</v>
      </c>
      <c r="C79" s="1" t="s">
        <v>13</v>
      </c>
      <c r="D79" s="1" t="s">
        <v>18</v>
      </c>
      <c r="E79" s="11" t="s">
        <v>44</v>
      </c>
      <c r="F79" s="12">
        <v>45748</v>
      </c>
      <c r="G79" s="1" t="s">
        <v>37</v>
      </c>
      <c r="H79" s="1" t="s">
        <v>39</v>
      </c>
      <c r="I79" s="2">
        <v>16</v>
      </c>
      <c r="J79" s="3">
        <v>90091</v>
      </c>
      <c r="K79" s="3">
        <v>1441456</v>
      </c>
      <c r="L79" s="3">
        <v>796612</v>
      </c>
      <c r="M79" s="3">
        <v>644844</v>
      </c>
      <c r="N79" s="4">
        <v>5</v>
      </c>
    </row>
    <row r="80" spans="1:14" x14ac:dyDescent="0.25">
      <c r="A80" s="2">
        <v>1</v>
      </c>
      <c r="B80" s="1" t="s">
        <v>12</v>
      </c>
      <c r="C80" s="1" t="s">
        <v>13</v>
      </c>
      <c r="D80" s="1" t="s">
        <v>14</v>
      </c>
      <c r="E80" s="11" t="s">
        <v>44</v>
      </c>
      <c r="F80" s="12">
        <v>45748</v>
      </c>
      <c r="G80" s="1" t="s">
        <v>37</v>
      </c>
      <c r="H80" s="1" t="s">
        <v>40</v>
      </c>
      <c r="I80" s="2">
        <v>14</v>
      </c>
      <c r="J80" s="3">
        <v>136381</v>
      </c>
      <c r="K80" s="3">
        <v>1909334</v>
      </c>
      <c r="L80" s="3">
        <v>1321074</v>
      </c>
      <c r="M80" s="3">
        <v>588260</v>
      </c>
      <c r="N80" s="4">
        <v>12</v>
      </c>
    </row>
    <row r="81" spans="1:14" x14ac:dyDescent="0.25">
      <c r="A81" s="2">
        <v>1</v>
      </c>
      <c r="B81" s="1" t="s">
        <v>12</v>
      </c>
      <c r="C81" s="1" t="s">
        <v>13</v>
      </c>
      <c r="D81" s="1" t="s">
        <v>14</v>
      </c>
      <c r="E81" s="11" t="s">
        <v>44</v>
      </c>
      <c r="F81" s="12">
        <v>45748</v>
      </c>
      <c r="G81" s="1" t="s">
        <v>37</v>
      </c>
      <c r="H81" s="1" t="s">
        <v>41</v>
      </c>
      <c r="I81" s="2">
        <v>19</v>
      </c>
      <c r="J81" s="3">
        <v>96213</v>
      </c>
      <c r="K81" s="3">
        <v>1828047</v>
      </c>
      <c r="L81" s="3">
        <v>1228136</v>
      </c>
      <c r="M81" s="3">
        <v>599911</v>
      </c>
      <c r="N81" s="4">
        <v>10</v>
      </c>
    </row>
    <row r="82" spans="1:14" x14ac:dyDescent="0.25">
      <c r="A82" s="2">
        <v>1</v>
      </c>
      <c r="B82" s="1" t="s">
        <v>12</v>
      </c>
      <c r="C82" s="1" t="s">
        <v>13</v>
      </c>
      <c r="D82" s="1" t="s">
        <v>14</v>
      </c>
      <c r="E82" s="11" t="s">
        <v>45</v>
      </c>
      <c r="F82" s="12">
        <v>45778</v>
      </c>
      <c r="G82" s="1" t="s">
        <v>16</v>
      </c>
      <c r="H82" s="1" t="s">
        <v>17</v>
      </c>
      <c r="I82" s="2">
        <v>2</v>
      </c>
      <c r="J82" s="3">
        <v>68404</v>
      </c>
      <c r="K82" s="3">
        <v>136808</v>
      </c>
      <c r="L82" s="3">
        <v>75352</v>
      </c>
      <c r="M82" s="3">
        <v>61456</v>
      </c>
      <c r="N82" s="4">
        <v>11</v>
      </c>
    </row>
    <row r="83" spans="1:14" x14ac:dyDescent="0.25">
      <c r="A83" s="2">
        <v>1</v>
      </c>
      <c r="B83" s="1" t="s">
        <v>12</v>
      </c>
      <c r="C83" s="1" t="s">
        <v>13</v>
      </c>
      <c r="D83" s="1" t="s">
        <v>14</v>
      </c>
      <c r="E83" s="11" t="s">
        <v>45</v>
      </c>
      <c r="F83" s="12">
        <v>45778</v>
      </c>
      <c r="G83" s="1" t="s">
        <v>16</v>
      </c>
      <c r="H83" s="1" t="s">
        <v>19</v>
      </c>
      <c r="I83" s="2">
        <v>15</v>
      </c>
      <c r="J83" s="3">
        <v>127455</v>
      </c>
      <c r="K83" s="3">
        <v>1911825</v>
      </c>
      <c r="L83" s="3">
        <v>1260371</v>
      </c>
      <c r="M83" s="3">
        <v>651454</v>
      </c>
      <c r="N83" s="4">
        <v>11</v>
      </c>
    </row>
    <row r="84" spans="1:14" x14ac:dyDescent="0.25">
      <c r="A84" s="2">
        <v>1</v>
      </c>
      <c r="B84" s="1" t="s">
        <v>12</v>
      </c>
      <c r="C84" s="1" t="s">
        <v>13</v>
      </c>
      <c r="D84" s="1" t="s">
        <v>18</v>
      </c>
      <c r="E84" s="11" t="s">
        <v>45</v>
      </c>
      <c r="F84" s="12">
        <v>45778</v>
      </c>
      <c r="G84" s="1" t="s">
        <v>16</v>
      </c>
      <c r="H84" s="1" t="s">
        <v>20</v>
      </c>
      <c r="I84" s="2">
        <v>16</v>
      </c>
      <c r="J84" s="3">
        <v>65714</v>
      </c>
      <c r="K84" s="3">
        <v>1051424</v>
      </c>
      <c r="L84" s="3">
        <v>600995</v>
      </c>
      <c r="M84" s="3">
        <v>450429</v>
      </c>
      <c r="N84" s="4">
        <v>0</v>
      </c>
    </row>
    <row r="85" spans="1:14" x14ac:dyDescent="0.25">
      <c r="A85" s="2">
        <v>1</v>
      </c>
      <c r="B85" s="1" t="s">
        <v>12</v>
      </c>
      <c r="C85" s="1" t="s">
        <v>13</v>
      </c>
      <c r="D85" s="1" t="s">
        <v>18</v>
      </c>
      <c r="E85" s="11" t="s">
        <v>45</v>
      </c>
      <c r="F85" s="12">
        <v>45778</v>
      </c>
      <c r="G85" s="1" t="s">
        <v>16</v>
      </c>
      <c r="H85" s="1" t="s">
        <v>21</v>
      </c>
      <c r="I85" s="2">
        <v>17</v>
      </c>
      <c r="J85" s="3">
        <v>76491</v>
      </c>
      <c r="K85" s="3">
        <v>1300347</v>
      </c>
      <c r="L85" s="3">
        <v>887015</v>
      </c>
      <c r="M85" s="3">
        <v>413332</v>
      </c>
      <c r="N85" s="4">
        <v>12</v>
      </c>
    </row>
    <row r="86" spans="1:14" x14ac:dyDescent="0.25">
      <c r="A86" s="2">
        <v>1</v>
      </c>
      <c r="B86" s="1" t="s">
        <v>12</v>
      </c>
      <c r="C86" s="1" t="s">
        <v>13</v>
      </c>
      <c r="D86" s="1" t="s">
        <v>14</v>
      </c>
      <c r="E86" s="11" t="s">
        <v>45</v>
      </c>
      <c r="F86" s="12">
        <v>45778</v>
      </c>
      <c r="G86" s="1" t="s">
        <v>22</v>
      </c>
      <c r="H86" s="1" t="s">
        <v>23</v>
      </c>
      <c r="I86" s="2">
        <v>14</v>
      </c>
      <c r="J86" s="3">
        <v>56212</v>
      </c>
      <c r="K86" s="3">
        <v>786968</v>
      </c>
      <c r="L86" s="3">
        <v>523371</v>
      </c>
      <c r="M86" s="3">
        <v>263597</v>
      </c>
      <c r="N86" s="4">
        <v>11</v>
      </c>
    </row>
    <row r="87" spans="1:14" x14ac:dyDescent="0.25">
      <c r="A87" s="2">
        <v>1</v>
      </c>
      <c r="B87" s="1" t="s">
        <v>12</v>
      </c>
      <c r="C87" s="1" t="s">
        <v>13</v>
      </c>
      <c r="D87" s="1" t="s">
        <v>14</v>
      </c>
      <c r="E87" s="11" t="s">
        <v>45</v>
      </c>
      <c r="F87" s="12">
        <v>45778</v>
      </c>
      <c r="G87" s="1" t="s">
        <v>22</v>
      </c>
      <c r="H87" s="1" t="s">
        <v>24</v>
      </c>
      <c r="I87" s="2">
        <v>9</v>
      </c>
      <c r="J87" s="3">
        <v>53828</v>
      </c>
      <c r="K87" s="3">
        <v>484452</v>
      </c>
      <c r="L87" s="3">
        <v>328698</v>
      </c>
      <c r="M87" s="3">
        <v>155754</v>
      </c>
      <c r="N87" s="4">
        <v>0</v>
      </c>
    </row>
    <row r="88" spans="1:14" x14ac:dyDescent="0.25">
      <c r="A88" s="2">
        <v>1</v>
      </c>
      <c r="B88" s="1" t="s">
        <v>12</v>
      </c>
      <c r="C88" s="1" t="s">
        <v>13</v>
      </c>
      <c r="D88" s="1" t="s">
        <v>18</v>
      </c>
      <c r="E88" s="11" t="s">
        <v>45</v>
      </c>
      <c r="F88" s="12">
        <v>45778</v>
      </c>
      <c r="G88" s="1" t="s">
        <v>22</v>
      </c>
      <c r="H88" s="1" t="s">
        <v>25</v>
      </c>
      <c r="I88" s="2">
        <v>14</v>
      </c>
      <c r="J88" s="3">
        <v>65236</v>
      </c>
      <c r="K88" s="3">
        <v>913304</v>
      </c>
      <c r="L88" s="3">
        <v>522124</v>
      </c>
      <c r="M88" s="3">
        <v>391180</v>
      </c>
      <c r="N88" s="4">
        <v>11</v>
      </c>
    </row>
    <row r="89" spans="1:14" x14ac:dyDescent="0.25">
      <c r="A89" s="2">
        <v>1</v>
      </c>
      <c r="B89" s="1" t="s">
        <v>12</v>
      </c>
      <c r="C89" s="1" t="s">
        <v>13</v>
      </c>
      <c r="D89" s="1" t="s">
        <v>14</v>
      </c>
      <c r="E89" s="11" t="s">
        <v>45</v>
      </c>
      <c r="F89" s="12">
        <v>45778</v>
      </c>
      <c r="G89" s="1" t="s">
        <v>22</v>
      </c>
      <c r="H89" s="1" t="s">
        <v>26</v>
      </c>
      <c r="I89" s="2">
        <v>1</v>
      </c>
      <c r="J89" s="3">
        <v>144019</v>
      </c>
      <c r="K89" s="3">
        <v>144019</v>
      </c>
      <c r="L89" s="3">
        <v>70329</v>
      </c>
      <c r="M89" s="3">
        <v>73690</v>
      </c>
      <c r="N89" s="4">
        <v>4</v>
      </c>
    </row>
    <row r="90" spans="1:14" x14ac:dyDescent="0.25">
      <c r="A90" s="2">
        <v>1</v>
      </c>
      <c r="B90" s="1" t="s">
        <v>12</v>
      </c>
      <c r="C90" s="1" t="s">
        <v>13</v>
      </c>
      <c r="D90" s="1" t="s">
        <v>18</v>
      </c>
      <c r="E90" s="11" t="s">
        <v>45</v>
      </c>
      <c r="F90" s="12">
        <v>45778</v>
      </c>
      <c r="G90" s="1" t="s">
        <v>27</v>
      </c>
      <c r="H90" s="1" t="s">
        <v>28</v>
      </c>
      <c r="I90" s="2">
        <v>1</v>
      </c>
      <c r="J90" s="3">
        <v>138015</v>
      </c>
      <c r="K90" s="3">
        <v>138015</v>
      </c>
      <c r="L90" s="3">
        <v>75298</v>
      </c>
      <c r="M90" s="3">
        <v>62717</v>
      </c>
      <c r="N90" s="4">
        <v>1</v>
      </c>
    </row>
    <row r="91" spans="1:14" x14ac:dyDescent="0.25">
      <c r="A91" s="2">
        <v>1</v>
      </c>
      <c r="B91" s="1" t="s">
        <v>12</v>
      </c>
      <c r="C91" s="1" t="s">
        <v>13</v>
      </c>
      <c r="D91" s="1" t="s">
        <v>18</v>
      </c>
      <c r="E91" s="11" t="s">
        <v>45</v>
      </c>
      <c r="F91" s="12">
        <v>45778</v>
      </c>
      <c r="G91" s="1" t="s">
        <v>27</v>
      </c>
      <c r="H91" s="1" t="s">
        <v>29</v>
      </c>
      <c r="I91" s="2">
        <v>10</v>
      </c>
      <c r="J91" s="3">
        <v>140542</v>
      </c>
      <c r="K91" s="3">
        <v>1405420</v>
      </c>
      <c r="L91" s="3">
        <v>918110</v>
      </c>
      <c r="M91" s="3">
        <v>487310</v>
      </c>
      <c r="N91" s="4">
        <v>2</v>
      </c>
    </row>
    <row r="92" spans="1:14" x14ac:dyDescent="0.25">
      <c r="A92" s="2">
        <v>1</v>
      </c>
      <c r="B92" s="1" t="s">
        <v>12</v>
      </c>
      <c r="C92" s="1" t="s">
        <v>13</v>
      </c>
      <c r="D92" s="1" t="s">
        <v>18</v>
      </c>
      <c r="E92" s="11" t="s">
        <v>45</v>
      </c>
      <c r="F92" s="12">
        <v>45778</v>
      </c>
      <c r="G92" s="1" t="s">
        <v>27</v>
      </c>
      <c r="H92" s="1" t="s">
        <v>30</v>
      </c>
      <c r="I92" s="2">
        <v>8</v>
      </c>
      <c r="J92" s="3">
        <v>71885</v>
      </c>
      <c r="K92" s="3">
        <v>575080</v>
      </c>
      <c r="L92" s="3">
        <v>246797</v>
      </c>
      <c r="M92" s="3">
        <v>328283</v>
      </c>
      <c r="N92" s="4">
        <v>14</v>
      </c>
    </row>
    <row r="93" spans="1:14" x14ac:dyDescent="0.25">
      <c r="A93" s="2">
        <v>1</v>
      </c>
      <c r="B93" s="1" t="s">
        <v>12</v>
      </c>
      <c r="C93" s="1" t="s">
        <v>13</v>
      </c>
      <c r="D93" s="1" t="s">
        <v>18</v>
      </c>
      <c r="E93" s="11" t="s">
        <v>45</v>
      </c>
      <c r="F93" s="12">
        <v>45778</v>
      </c>
      <c r="G93" s="1" t="s">
        <v>27</v>
      </c>
      <c r="H93" s="1" t="s">
        <v>31</v>
      </c>
      <c r="I93" s="2">
        <v>2</v>
      </c>
      <c r="J93" s="3">
        <v>76958</v>
      </c>
      <c r="K93" s="3">
        <v>153916</v>
      </c>
      <c r="L93" s="3">
        <v>85500</v>
      </c>
      <c r="M93" s="3">
        <v>68416</v>
      </c>
      <c r="N93" s="4">
        <v>1</v>
      </c>
    </row>
    <row r="94" spans="1:14" x14ac:dyDescent="0.25">
      <c r="A94" s="2">
        <v>1</v>
      </c>
      <c r="B94" s="1" t="s">
        <v>12</v>
      </c>
      <c r="C94" s="1" t="s">
        <v>13</v>
      </c>
      <c r="D94" s="1" t="s">
        <v>14</v>
      </c>
      <c r="E94" s="11" t="s">
        <v>45</v>
      </c>
      <c r="F94" s="12">
        <v>45778</v>
      </c>
      <c r="G94" s="1" t="s">
        <v>32</v>
      </c>
      <c r="H94" s="1" t="s">
        <v>33</v>
      </c>
      <c r="I94" s="2">
        <v>17</v>
      </c>
      <c r="J94" s="3">
        <v>16367</v>
      </c>
      <c r="K94" s="3">
        <v>278239</v>
      </c>
      <c r="L94" s="3">
        <v>169476</v>
      </c>
      <c r="M94" s="3">
        <v>108763</v>
      </c>
      <c r="N94" s="4">
        <v>10</v>
      </c>
    </row>
    <row r="95" spans="1:14" x14ac:dyDescent="0.25">
      <c r="A95" s="2">
        <v>1</v>
      </c>
      <c r="B95" s="1" t="s">
        <v>12</v>
      </c>
      <c r="C95" s="1" t="s">
        <v>13</v>
      </c>
      <c r="D95" s="1" t="s">
        <v>18</v>
      </c>
      <c r="E95" s="11" t="s">
        <v>45</v>
      </c>
      <c r="F95" s="12">
        <v>45778</v>
      </c>
      <c r="G95" s="1" t="s">
        <v>32</v>
      </c>
      <c r="H95" s="1" t="s">
        <v>34</v>
      </c>
      <c r="I95" s="2">
        <v>16</v>
      </c>
      <c r="J95" s="3">
        <v>12206</v>
      </c>
      <c r="K95" s="3">
        <v>195296</v>
      </c>
      <c r="L95" s="3">
        <v>95319</v>
      </c>
      <c r="M95" s="3">
        <v>99977</v>
      </c>
      <c r="N95" s="4">
        <v>6</v>
      </c>
    </row>
    <row r="96" spans="1:14" x14ac:dyDescent="0.25">
      <c r="A96" s="2">
        <v>1</v>
      </c>
      <c r="B96" s="1" t="s">
        <v>12</v>
      </c>
      <c r="C96" s="1" t="s">
        <v>13</v>
      </c>
      <c r="D96" s="1" t="s">
        <v>18</v>
      </c>
      <c r="E96" s="11" t="s">
        <v>45</v>
      </c>
      <c r="F96" s="12">
        <v>45778</v>
      </c>
      <c r="G96" s="1" t="s">
        <v>32</v>
      </c>
      <c r="H96" s="1" t="s">
        <v>35</v>
      </c>
      <c r="I96" s="2">
        <v>3</v>
      </c>
      <c r="J96" s="3">
        <v>6841</v>
      </c>
      <c r="K96" s="3">
        <v>20523</v>
      </c>
      <c r="L96" s="3">
        <v>13547</v>
      </c>
      <c r="M96" s="3">
        <v>6976</v>
      </c>
      <c r="N96" s="4">
        <v>12</v>
      </c>
    </row>
    <row r="97" spans="1:14" x14ac:dyDescent="0.25">
      <c r="A97" s="2">
        <v>1</v>
      </c>
      <c r="B97" s="1" t="s">
        <v>12</v>
      </c>
      <c r="C97" s="1" t="s">
        <v>13</v>
      </c>
      <c r="D97" s="1" t="s">
        <v>14</v>
      </c>
      <c r="E97" s="11" t="s">
        <v>45</v>
      </c>
      <c r="F97" s="12">
        <v>45778</v>
      </c>
      <c r="G97" s="1" t="s">
        <v>32</v>
      </c>
      <c r="H97" s="1" t="s">
        <v>36</v>
      </c>
      <c r="I97" s="2">
        <v>7</v>
      </c>
      <c r="J97" s="3">
        <v>12992</v>
      </c>
      <c r="K97" s="3">
        <v>90944</v>
      </c>
      <c r="L97" s="3">
        <v>53508</v>
      </c>
      <c r="M97" s="3">
        <v>37436</v>
      </c>
      <c r="N97" s="4">
        <v>3</v>
      </c>
    </row>
    <row r="98" spans="1:14" x14ac:dyDescent="0.25">
      <c r="A98" s="2">
        <v>1</v>
      </c>
      <c r="B98" s="1" t="s">
        <v>12</v>
      </c>
      <c r="C98" s="1" t="s">
        <v>13</v>
      </c>
      <c r="D98" s="1" t="s">
        <v>14</v>
      </c>
      <c r="E98" s="11" t="s">
        <v>45</v>
      </c>
      <c r="F98" s="12">
        <v>45778</v>
      </c>
      <c r="G98" s="1" t="s">
        <v>37</v>
      </c>
      <c r="H98" s="1" t="s">
        <v>38</v>
      </c>
      <c r="I98" s="2">
        <v>1</v>
      </c>
      <c r="J98" s="3">
        <v>97575</v>
      </c>
      <c r="K98" s="3">
        <v>97575</v>
      </c>
      <c r="L98" s="3">
        <v>59578</v>
      </c>
      <c r="M98" s="3">
        <v>37997</v>
      </c>
      <c r="N98" s="4">
        <v>13</v>
      </c>
    </row>
    <row r="99" spans="1:14" x14ac:dyDescent="0.25">
      <c r="A99" s="2">
        <v>1</v>
      </c>
      <c r="B99" s="1" t="s">
        <v>12</v>
      </c>
      <c r="C99" s="1" t="s">
        <v>13</v>
      </c>
      <c r="D99" s="1" t="s">
        <v>14</v>
      </c>
      <c r="E99" s="11" t="s">
        <v>45</v>
      </c>
      <c r="F99" s="12">
        <v>45778</v>
      </c>
      <c r="G99" s="1" t="s">
        <v>37</v>
      </c>
      <c r="H99" s="1" t="s">
        <v>39</v>
      </c>
      <c r="I99" s="2">
        <v>12</v>
      </c>
      <c r="J99" s="3">
        <v>107922</v>
      </c>
      <c r="K99" s="3">
        <v>1295064</v>
      </c>
      <c r="L99" s="3">
        <v>649343</v>
      </c>
      <c r="M99" s="3">
        <v>645721</v>
      </c>
      <c r="N99" s="4">
        <v>11</v>
      </c>
    </row>
    <row r="100" spans="1:14" x14ac:dyDescent="0.25">
      <c r="A100" s="2">
        <v>1</v>
      </c>
      <c r="B100" s="1" t="s">
        <v>12</v>
      </c>
      <c r="C100" s="1" t="s">
        <v>13</v>
      </c>
      <c r="D100" s="1" t="s">
        <v>18</v>
      </c>
      <c r="E100" s="11" t="s">
        <v>45</v>
      </c>
      <c r="F100" s="12">
        <v>45778</v>
      </c>
      <c r="G100" s="1" t="s">
        <v>37</v>
      </c>
      <c r="H100" s="1" t="s">
        <v>40</v>
      </c>
      <c r="I100" s="2">
        <v>2</v>
      </c>
      <c r="J100" s="3">
        <v>98657</v>
      </c>
      <c r="K100" s="3">
        <v>197314</v>
      </c>
      <c r="L100" s="3">
        <v>104880</v>
      </c>
      <c r="M100" s="3">
        <v>92434</v>
      </c>
      <c r="N100" s="4">
        <v>14</v>
      </c>
    </row>
    <row r="101" spans="1:14" x14ac:dyDescent="0.25">
      <c r="A101" s="2">
        <v>1</v>
      </c>
      <c r="B101" s="1" t="s">
        <v>12</v>
      </c>
      <c r="C101" s="1" t="s">
        <v>13</v>
      </c>
      <c r="D101" s="1" t="s">
        <v>18</v>
      </c>
      <c r="E101" s="11" t="s">
        <v>45</v>
      </c>
      <c r="F101" s="12">
        <v>45778</v>
      </c>
      <c r="G101" s="1" t="s">
        <v>37</v>
      </c>
      <c r="H101" s="1" t="s">
        <v>41</v>
      </c>
      <c r="I101" s="2">
        <v>19</v>
      </c>
      <c r="J101" s="3">
        <v>113848</v>
      </c>
      <c r="K101" s="3">
        <v>2163112</v>
      </c>
      <c r="L101" s="3">
        <v>965856</v>
      </c>
      <c r="M101" s="3">
        <v>1197256</v>
      </c>
      <c r="N101" s="4">
        <v>13</v>
      </c>
    </row>
    <row r="102" spans="1:14" x14ac:dyDescent="0.25">
      <c r="A102" s="2">
        <v>1</v>
      </c>
      <c r="B102" s="1" t="s">
        <v>12</v>
      </c>
      <c r="C102" s="1" t="s">
        <v>13</v>
      </c>
      <c r="D102" s="1" t="s">
        <v>18</v>
      </c>
      <c r="E102" s="11" t="s">
        <v>46</v>
      </c>
      <c r="F102" s="12">
        <v>45809</v>
      </c>
      <c r="G102" s="1" t="s">
        <v>16</v>
      </c>
      <c r="H102" s="1" t="s">
        <v>17</v>
      </c>
      <c r="I102" s="2">
        <v>17</v>
      </c>
      <c r="J102" s="3">
        <v>128211</v>
      </c>
      <c r="K102" s="3">
        <v>2179587</v>
      </c>
      <c r="L102" s="3">
        <v>897227</v>
      </c>
      <c r="M102" s="3">
        <v>1282360</v>
      </c>
      <c r="N102" s="4">
        <v>14</v>
      </c>
    </row>
    <row r="103" spans="1:14" x14ac:dyDescent="0.25">
      <c r="A103" s="2">
        <v>1</v>
      </c>
      <c r="B103" s="1" t="s">
        <v>12</v>
      </c>
      <c r="C103" s="1" t="s">
        <v>13</v>
      </c>
      <c r="D103" s="1" t="s">
        <v>14</v>
      </c>
      <c r="E103" s="11" t="s">
        <v>46</v>
      </c>
      <c r="F103" s="12">
        <v>45809</v>
      </c>
      <c r="G103" s="1" t="s">
        <v>16</v>
      </c>
      <c r="H103" s="1" t="s">
        <v>19</v>
      </c>
      <c r="I103" s="2">
        <v>11</v>
      </c>
      <c r="J103" s="3">
        <v>88027</v>
      </c>
      <c r="K103" s="3">
        <v>968297</v>
      </c>
      <c r="L103" s="3">
        <v>482207</v>
      </c>
      <c r="M103" s="3">
        <v>486090</v>
      </c>
      <c r="N103" s="4">
        <v>7</v>
      </c>
    </row>
    <row r="104" spans="1:14" x14ac:dyDescent="0.25">
      <c r="A104" s="2">
        <v>1</v>
      </c>
      <c r="B104" s="1" t="s">
        <v>12</v>
      </c>
      <c r="C104" s="1" t="s">
        <v>13</v>
      </c>
      <c r="D104" s="1" t="s">
        <v>18</v>
      </c>
      <c r="E104" s="11" t="s">
        <v>46</v>
      </c>
      <c r="F104" s="12">
        <v>45809</v>
      </c>
      <c r="G104" s="1" t="s">
        <v>16</v>
      </c>
      <c r="H104" s="1" t="s">
        <v>20</v>
      </c>
      <c r="I104" s="2">
        <v>12</v>
      </c>
      <c r="J104" s="3">
        <v>68747</v>
      </c>
      <c r="K104" s="3">
        <v>824964</v>
      </c>
      <c r="L104" s="3">
        <v>484144</v>
      </c>
      <c r="M104" s="3">
        <v>340820</v>
      </c>
      <c r="N104" s="4">
        <v>3</v>
      </c>
    </row>
    <row r="105" spans="1:14" x14ac:dyDescent="0.25">
      <c r="A105" s="2">
        <v>1</v>
      </c>
      <c r="B105" s="1" t="s">
        <v>12</v>
      </c>
      <c r="C105" s="1" t="s">
        <v>13</v>
      </c>
      <c r="D105" s="1" t="s">
        <v>18</v>
      </c>
      <c r="E105" s="11" t="s">
        <v>46</v>
      </c>
      <c r="F105" s="12">
        <v>45809</v>
      </c>
      <c r="G105" s="1" t="s">
        <v>16</v>
      </c>
      <c r="H105" s="1" t="s">
        <v>21</v>
      </c>
      <c r="I105" s="2">
        <v>6</v>
      </c>
      <c r="J105" s="3">
        <v>86412</v>
      </c>
      <c r="K105" s="3">
        <v>518472</v>
      </c>
      <c r="L105" s="3">
        <v>237622</v>
      </c>
      <c r="M105" s="3">
        <v>280850</v>
      </c>
      <c r="N105" s="4">
        <v>13</v>
      </c>
    </row>
    <row r="106" spans="1:14" x14ac:dyDescent="0.25">
      <c r="A106" s="2">
        <v>1</v>
      </c>
      <c r="B106" s="1" t="s">
        <v>12</v>
      </c>
      <c r="C106" s="1" t="s">
        <v>13</v>
      </c>
      <c r="D106" s="1" t="s">
        <v>18</v>
      </c>
      <c r="E106" s="11" t="s">
        <v>46</v>
      </c>
      <c r="F106" s="12">
        <v>45809</v>
      </c>
      <c r="G106" s="1" t="s">
        <v>22</v>
      </c>
      <c r="H106" s="1" t="s">
        <v>23</v>
      </c>
      <c r="I106" s="2">
        <v>15</v>
      </c>
      <c r="J106" s="3">
        <v>100738</v>
      </c>
      <c r="K106" s="3">
        <v>1511070</v>
      </c>
      <c r="L106" s="3">
        <v>893388</v>
      </c>
      <c r="M106" s="3">
        <v>617682</v>
      </c>
      <c r="N106" s="4">
        <v>3</v>
      </c>
    </row>
    <row r="107" spans="1:14" x14ac:dyDescent="0.25">
      <c r="A107" s="2">
        <v>1</v>
      </c>
      <c r="B107" s="1" t="s">
        <v>12</v>
      </c>
      <c r="C107" s="1" t="s">
        <v>13</v>
      </c>
      <c r="D107" s="1" t="s">
        <v>14</v>
      </c>
      <c r="E107" s="11" t="s">
        <v>46</v>
      </c>
      <c r="F107" s="12">
        <v>45809</v>
      </c>
      <c r="G107" s="1" t="s">
        <v>22</v>
      </c>
      <c r="H107" s="1" t="s">
        <v>24</v>
      </c>
      <c r="I107" s="2">
        <v>16</v>
      </c>
      <c r="J107" s="3">
        <v>114476</v>
      </c>
      <c r="K107" s="3">
        <v>1831616</v>
      </c>
      <c r="L107" s="3">
        <v>1265392</v>
      </c>
      <c r="M107" s="3">
        <v>566224</v>
      </c>
      <c r="N107" s="4">
        <v>9</v>
      </c>
    </row>
    <row r="108" spans="1:14" x14ac:dyDescent="0.25">
      <c r="A108" s="2">
        <v>1</v>
      </c>
      <c r="B108" s="1" t="s">
        <v>12</v>
      </c>
      <c r="C108" s="1" t="s">
        <v>13</v>
      </c>
      <c r="D108" s="1" t="s">
        <v>14</v>
      </c>
      <c r="E108" s="11" t="s">
        <v>46</v>
      </c>
      <c r="F108" s="12">
        <v>45809</v>
      </c>
      <c r="G108" s="1" t="s">
        <v>22</v>
      </c>
      <c r="H108" s="1" t="s">
        <v>25</v>
      </c>
      <c r="I108" s="2">
        <v>19</v>
      </c>
      <c r="J108" s="3">
        <v>106672</v>
      </c>
      <c r="K108" s="3">
        <v>2026768</v>
      </c>
      <c r="L108" s="3">
        <v>1053202</v>
      </c>
      <c r="M108" s="3">
        <v>973566</v>
      </c>
      <c r="N108" s="4">
        <v>2</v>
      </c>
    </row>
    <row r="109" spans="1:14" x14ac:dyDescent="0.25">
      <c r="A109" s="2">
        <v>1</v>
      </c>
      <c r="B109" s="1" t="s">
        <v>12</v>
      </c>
      <c r="C109" s="1" t="s">
        <v>13</v>
      </c>
      <c r="D109" s="1" t="s">
        <v>18</v>
      </c>
      <c r="E109" s="11" t="s">
        <v>46</v>
      </c>
      <c r="F109" s="12">
        <v>45809</v>
      </c>
      <c r="G109" s="1" t="s">
        <v>22</v>
      </c>
      <c r="H109" s="1" t="s">
        <v>26</v>
      </c>
      <c r="I109" s="2">
        <v>5</v>
      </c>
      <c r="J109" s="3">
        <v>52217</v>
      </c>
      <c r="K109" s="3">
        <v>261085</v>
      </c>
      <c r="L109" s="3">
        <v>179833</v>
      </c>
      <c r="M109" s="3">
        <v>81252</v>
      </c>
      <c r="N109" s="4">
        <v>6</v>
      </c>
    </row>
    <row r="110" spans="1:14" x14ac:dyDescent="0.25">
      <c r="A110" s="2">
        <v>1</v>
      </c>
      <c r="B110" s="1" t="s">
        <v>12</v>
      </c>
      <c r="C110" s="1" t="s">
        <v>13</v>
      </c>
      <c r="D110" s="1" t="s">
        <v>18</v>
      </c>
      <c r="E110" s="11" t="s">
        <v>46</v>
      </c>
      <c r="F110" s="12">
        <v>45809</v>
      </c>
      <c r="G110" s="1" t="s">
        <v>27</v>
      </c>
      <c r="H110" s="1" t="s">
        <v>28</v>
      </c>
      <c r="I110" s="2">
        <v>9</v>
      </c>
      <c r="J110" s="3">
        <v>120235</v>
      </c>
      <c r="K110" s="3">
        <v>1082115</v>
      </c>
      <c r="L110" s="3">
        <v>565606</v>
      </c>
      <c r="M110" s="3">
        <v>516509</v>
      </c>
      <c r="N110" s="4">
        <v>9</v>
      </c>
    </row>
    <row r="111" spans="1:14" x14ac:dyDescent="0.25">
      <c r="A111" s="2">
        <v>1</v>
      </c>
      <c r="B111" s="1" t="s">
        <v>12</v>
      </c>
      <c r="C111" s="1" t="s">
        <v>13</v>
      </c>
      <c r="D111" s="1" t="s">
        <v>14</v>
      </c>
      <c r="E111" s="11" t="s">
        <v>46</v>
      </c>
      <c r="F111" s="12">
        <v>45809</v>
      </c>
      <c r="G111" s="1" t="s">
        <v>27</v>
      </c>
      <c r="H111" s="1" t="s">
        <v>29</v>
      </c>
      <c r="I111" s="2">
        <v>1</v>
      </c>
      <c r="J111" s="3">
        <v>145729</v>
      </c>
      <c r="K111" s="3">
        <v>145729</v>
      </c>
      <c r="L111" s="3">
        <v>68774</v>
      </c>
      <c r="M111" s="3">
        <v>76955</v>
      </c>
      <c r="N111" s="4">
        <v>5</v>
      </c>
    </row>
    <row r="112" spans="1:14" x14ac:dyDescent="0.25">
      <c r="A112" s="2">
        <v>1</v>
      </c>
      <c r="B112" s="1" t="s">
        <v>12</v>
      </c>
      <c r="C112" s="1" t="s">
        <v>13</v>
      </c>
      <c r="D112" s="1" t="s">
        <v>14</v>
      </c>
      <c r="E112" s="11" t="s">
        <v>46</v>
      </c>
      <c r="F112" s="12">
        <v>45809</v>
      </c>
      <c r="G112" s="1" t="s">
        <v>27</v>
      </c>
      <c r="H112" s="1" t="s">
        <v>30</v>
      </c>
      <c r="I112" s="2">
        <v>16</v>
      </c>
      <c r="J112" s="3">
        <v>40056</v>
      </c>
      <c r="K112" s="3">
        <v>640896</v>
      </c>
      <c r="L112" s="3">
        <v>383293</v>
      </c>
      <c r="M112" s="3">
        <v>257603</v>
      </c>
      <c r="N112" s="4">
        <v>4</v>
      </c>
    </row>
    <row r="113" spans="1:14" x14ac:dyDescent="0.25">
      <c r="A113" s="2">
        <v>1</v>
      </c>
      <c r="B113" s="1" t="s">
        <v>12</v>
      </c>
      <c r="C113" s="1" t="s">
        <v>13</v>
      </c>
      <c r="D113" s="1" t="s">
        <v>18</v>
      </c>
      <c r="E113" s="11" t="s">
        <v>46</v>
      </c>
      <c r="F113" s="12">
        <v>45809</v>
      </c>
      <c r="G113" s="1" t="s">
        <v>27</v>
      </c>
      <c r="H113" s="1" t="s">
        <v>31</v>
      </c>
      <c r="I113" s="2">
        <v>1</v>
      </c>
      <c r="J113" s="3">
        <v>23343</v>
      </c>
      <c r="K113" s="3">
        <v>23343</v>
      </c>
      <c r="L113" s="3">
        <v>12955</v>
      </c>
      <c r="M113" s="3">
        <v>10388</v>
      </c>
      <c r="N113" s="4">
        <v>14</v>
      </c>
    </row>
    <row r="114" spans="1:14" x14ac:dyDescent="0.25">
      <c r="A114" s="2">
        <v>1</v>
      </c>
      <c r="B114" s="1" t="s">
        <v>12</v>
      </c>
      <c r="C114" s="1" t="s">
        <v>13</v>
      </c>
      <c r="D114" s="1" t="s">
        <v>18</v>
      </c>
      <c r="E114" s="11" t="s">
        <v>46</v>
      </c>
      <c r="F114" s="12">
        <v>45809</v>
      </c>
      <c r="G114" s="1" t="s">
        <v>32</v>
      </c>
      <c r="H114" s="1" t="s">
        <v>33</v>
      </c>
      <c r="I114" s="2">
        <v>5</v>
      </c>
      <c r="J114" s="3">
        <v>12004</v>
      </c>
      <c r="K114" s="3">
        <v>60020</v>
      </c>
      <c r="L114" s="3">
        <v>31563</v>
      </c>
      <c r="M114" s="3">
        <v>28457</v>
      </c>
      <c r="N114" s="4">
        <v>11</v>
      </c>
    </row>
    <row r="115" spans="1:14" x14ac:dyDescent="0.25">
      <c r="A115" s="2">
        <v>1</v>
      </c>
      <c r="B115" s="1" t="s">
        <v>12</v>
      </c>
      <c r="C115" s="1" t="s">
        <v>13</v>
      </c>
      <c r="D115" s="1" t="s">
        <v>14</v>
      </c>
      <c r="E115" s="11" t="s">
        <v>46</v>
      </c>
      <c r="F115" s="12">
        <v>45809</v>
      </c>
      <c r="G115" s="1" t="s">
        <v>32</v>
      </c>
      <c r="H115" s="1" t="s">
        <v>34</v>
      </c>
      <c r="I115" s="2">
        <v>16</v>
      </c>
      <c r="J115" s="3">
        <v>8506</v>
      </c>
      <c r="K115" s="3">
        <v>136096</v>
      </c>
      <c r="L115" s="3">
        <v>85380</v>
      </c>
      <c r="M115" s="3">
        <v>50716</v>
      </c>
      <c r="N115" s="4">
        <v>8</v>
      </c>
    </row>
    <row r="116" spans="1:14" x14ac:dyDescent="0.25">
      <c r="A116" s="2">
        <v>1</v>
      </c>
      <c r="B116" s="1" t="s">
        <v>12</v>
      </c>
      <c r="C116" s="1" t="s">
        <v>13</v>
      </c>
      <c r="D116" s="1" t="s">
        <v>18</v>
      </c>
      <c r="E116" s="11" t="s">
        <v>46</v>
      </c>
      <c r="F116" s="12">
        <v>45809</v>
      </c>
      <c r="G116" s="1" t="s">
        <v>32</v>
      </c>
      <c r="H116" s="1" t="s">
        <v>35</v>
      </c>
      <c r="I116" s="2">
        <v>14</v>
      </c>
      <c r="J116" s="3">
        <v>14435</v>
      </c>
      <c r="K116" s="3">
        <v>202090</v>
      </c>
      <c r="L116" s="3">
        <v>83625</v>
      </c>
      <c r="M116" s="3">
        <v>118465</v>
      </c>
      <c r="N116" s="4">
        <v>0</v>
      </c>
    </row>
    <row r="117" spans="1:14" x14ac:dyDescent="0.25">
      <c r="A117" s="2">
        <v>1</v>
      </c>
      <c r="B117" s="1" t="s">
        <v>12</v>
      </c>
      <c r="C117" s="1" t="s">
        <v>13</v>
      </c>
      <c r="D117" s="1" t="s">
        <v>18</v>
      </c>
      <c r="E117" s="11" t="s">
        <v>46</v>
      </c>
      <c r="F117" s="12">
        <v>45809</v>
      </c>
      <c r="G117" s="1" t="s">
        <v>32</v>
      </c>
      <c r="H117" s="1" t="s">
        <v>36</v>
      </c>
      <c r="I117" s="2">
        <v>14</v>
      </c>
      <c r="J117" s="3">
        <v>18245</v>
      </c>
      <c r="K117" s="3">
        <v>255430</v>
      </c>
      <c r="L117" s="3">
        <v>156092</v>
      </c>
      <c r="M117" s="3">
        <v>99338</v>
      </c>
      <c r="N117" s="4">
        <v>11</v>
      </c>
    </row>
    <row r="118" spans="1:14" x14ac:dyDescent="0.25">
      <c r="A118" s="2">
        <v>1</v>
      </c>
      <c r="B118" s="1" t="s">
        <v>12</v>
      </c>
      <c r="C118" s="1" t="s">
        <v>13</v>
      </c>
      <c r="D118" s="1" t="s">
        <v>14</v>
      </c>
      <c r="E118" s="11" t="s">
        <v>46</v>
      </c>
      <c r="F118" s="12">
        <v>45809</v>
      </c>
      <c r="G118" s="1" t="s">
        <v>37</v>
      </c>
      <c r="H118" s="1" t="s">
        <v>38</v>
      </c>
      <c r="I118" s="2">
        <v>16</v>
      </c>
      <c r="J118" s="3">
        <v>128761</v>
      </c>
      <c r="K118" s="3">
        <v>2060176</v>
      </c>
      <c r="L118" s="3">
        <v>1295869</v>
      </c>
      <c r="M118" s="3">
        <v>764307</v>
      </c>
      <c r="N118" s="4">
        <v>4</v>
      </c>
    </row>
    <row r="119" spans="1:14" x14ac:dyDescent="0.25">
      <c r="A119" s="2">
        <v>1</v>
      </c>
      <c r="B119" s="1" t="s">
        <v>12</v>
      </c>
      <c r="C119" s="1" t="s">
        <v>13</v>
      </c>
      <c r="D119" s="1" t="s">
        <v>14</v>
      </c>
      <c r="E119" s="11" t="s">
        <v>46</v>
      </c>
      <c r="F119" s="12">
        <v>45809</v>
      </c>
      <c r="G119" s="1" t="s">
        <v>37</v>
      </c>
      <c r="H119" s="1" t="s">
        <v>39</v>
      </c>
      <c r="I119" s="2">
        <v>7</v>
      </c>
      <c r="J119" s="3">
        <v>111747</v>
      </c>
      <c r="K119" s="3">
        <v>782229</v>
      </c>
      <c r="L119" s="3">
        <v>353536</v>
      </c>
      <c r="M119" s="3">
        <v>428693</v>
      </c>
      <c r="N119" s="4">
        <v>13</v>
      </c>
    </row>
    <row r="120" spans="1:14" x14ac:dyDescent="0.25">
      <c r="A120" s="2">
        <v>1</v>
      </c>
      <c r="B120" s="1" t="s">
        <v>12</v>
      </c>
      <c r="C120" s="1" t="s">
        <v>13</v>
      </c>
      <c r="D120" s="1" t="s">
        <v>14</v>
      </c>
      <c r="E120" s="11" t="s">
        <v>46</v>
      </c>
      <c r="F120" s="12">
        <v>45809</v>
      </c>
      <c r="G120" s="1" t="s">
        <v>37</v>
      </c>
      <c r="H120" s="1" t="s">
        <v>40</v>
      </c>
      <c r="I120" s="2">
        <v>5</v>
      </c>
      <c r="J120" s="3">
        <v>46646</v>
      </c>
      <c r="K120" s="3">
        <v>233230</v>
      </c>
      <c r="L120" s="3">
        <v>96654</v>
      </c>
      <c r="M120" s="3">
        <v>136576</v>
      </c>
      <c r="N120" s="4">
        <v>5</v>
      </c>
    </row>
    <row r="121" spans="1:14" x14ac:dyDescent="0.25">
      <c r="A121" s="2">
        <v>1</v>
      </c>
      <c r="B121" s="1" t="s">
        <v>12</v>
      </c>
      <c r="C121" s="1" t="s">
        <v>13</v>
      </c>
      <c r="D121" s="1" t="s">
        <v>18</v>
      </c>
      <c r="E121" s="11" t="s">
        <v>46</v>
      </c>
      <c r="F121" s="12">
        <v>45809</v>
      </c>
      <c r="G121" s="1" t="s">
        <v>37</v>
      </c>
      <c r="H121" s="1" t="s">
        <v>41</v>
      </c>
      <c r="I121" s="2">
        <v>5</v>
      </c>
      <c r="J121" s="3">
        <v>117379</v>
      </c>
      <c r="K121" s="3">
        <v>586895</v>
      </c>
      <c r="L121" s="3">
        <v>242734</v>
      </c>
      <c r="M121" s="3">
        <v>344161</v>
      </c>
      <c r="N121" s="4">
        <v>14</v>
      </c>
    </row>
    <row r="122" spans="1:14" x14ac:dyDescent="0.25">
      <c r="A122" s="2">
        <v>1</v>
      </c>
      <c r="B122" s="1" t="s">
        <v>12</v>
      </c>
      <c r="C122" s="1" t="s">
        <v>13</v>
      </c>
      <c r="D122" s="1" t="s">
        <v>18</v>
      </c>
      <c r="E122" s="11" t="s">
        <v>47</v>
      </c>
      <c r="F122" s="12">
        <v>45839</v>
      </c>
      <c r="G122" s="1" t="s">
        <v>16</v>
      </c>
      <c r="H122" s="1" t="s">
        <v>17</v>
      </c>
      <c r="I122" s="2">
        <v>10</v>
      </c>
      <c r="J122" s="3">
        <v>43289</v>
      </c>
      <c r="K122" s="3">
        <v>432890</v>
      </c>
      <c r="L122" s="3">
        <v>294378</v>
      </c>
      <c r="M122" s="3">
        <v>138512</v>
      </c>
      <c r="N122" s="4">
        <v>0</v>
      </c>
    </row>
    <row r="123" spans="1:14" x14ac:dyDescent="0.25">
      <c r="A123" s="2">
        <v>1</v>
      </c>
      <c r="B123" s="1" t="s">
        <v>12</v>
      </c>
      <c r="C123" s="1" t="s">
        <v>13</v>
      </c>
      <c r="D123" s="1" t="s">
        <v>18</v>
      </c>
      <c r="E123" s="11" t="s">
        <v>47</v>
      </c>
      <c r="F123" s="12">
        <v>45839</v>
      </c>
      <c r="G123" s="1" t="s">
        <v>16</v>
      </c>
      <c r="H123" s="1" t="s">
        <v>19</v>
      </c>
      <c r="I123" s="2">
        <v>5</v>
      </c>
      <c r="J123" s="3">
        <v>36364</v>
      </c>
      <c r="K123" s="3">
        <v>181820</v>
      </c>
      <c r="L123" s="3">
        <v>81615</v>
      </c>
      <c r="M123" s="3">
        <v>100205</v>
      </c>
      <c r="N123" s="4">
        <v>7</v>
      </c>
    </row>
    <row r="124" spans="1:14" x14ac:dyDescent="0.25">
      <c r="A124" s="2">
        <v>1</v>
      </c>
      <c r="B124" s="1" t="s">
        <v>12</v>
      </c>
      <c r="C124" s="1" t="s">
        <v>13</v>
      </c>
      <c r="D124" s="1" t="s">
        <v>18</v>
      </c>
      <c r="E124" s="11" t="s">
        <v>47</v>
      </c>
      <c r="F124" s="12">
        <v>45839</v>
      </c>
      <c r="G124" s="1" t="s">
        <v>16</v>
      </c>
      <c r="H124" s="1" t="s">
        <v>20</v>
      </c>
      <c r="I124" s="2">
        <v>16</v>
      </c>
      <c r="J124" s="3">
        <v>124182</v>
      </c>
      <c r="K124" s="3">
        <v>1986912</v>
      </c>
      <c r="L124" s="3">
        <v>1357608</v>
      </c>
      <c r="M124" s="3">
        <v>629304</v>
      </c>
      <c r="N124" s="4">
        <v>11</v>
      </c>
    </row>
    <row r="125" spans="1:14" x14ac:dyDescent="0.25">
      <c r="A125" s="2">
        <v>1</v>
      </c>
      <c r="B125" s="1" t="s">
        <v>12</v>
      </c>
      <c r="C125" s="1" t="s">
        <v>13</v>
      </c>
      <c r="D125" s="1" t="s">
        <v>14</v>
      </c>
      <c r="E125" s="11" t="s">
        <v>47</v>
      </c>
      <c r="F125" s="12">
        <v>45839</v>
      </c>
      <c r="G125" s="1" t="s">
        <v>16</v>
      </c>
      <c r="H125" s="1" t="s">
        <v>21</v>
      </c>
      <c r="I125" s="2">
        <v>12</v>
      </c>
      <c r="J125" s="3">
        <v>92369</v>
      </c>
      <c r="K125" s="3">
        <v>1108428</v>
      </c>
      <c r="L125" s="3">
        <v>634032</v>
      </c>
      <c r="M125" s="3">
        <v>474396</v>
      </c>
      <c r="N125" s="4">
        <v>0</v>
      </c>
    </row>
    <row r="126" spans="1:14" x14ac:dyDescent="0.25">
      <c r="A126" s="2">
        <v>1</v>
      </c>
      <c r="B126" s="1" t="s">
        <v>12</v>
      </c>
      <c r="C126" s="1" t="s">
        <v>13</v>
      </c>
      <c r="D126" s="1" t="s">
        <v>14</v>
      </c>
      <c r="E126" s="11" t="s">
        <v>47</v>
      </c>
      <c r="F126" s="12">
        <v>45839</v>
      </c>
      <c r="G126" s="1" t="s">
        <v>22</v>
      </c>
      <c r="H126" s="1" t="s">
        <v>23</v>
      </c>
      <c r="I126" s="2">
        <v>1</v>
      </c>
      <c r="J126" s="3">
        <v>90588</v>
      </c>
      <c r="K126" s="3">
        <v>90588</v>
      </c>
      <c r="L126" s="3">
        <v>51063</v>
      </c>
      <c r="M126" s="3">
        <v>39525</v>
      </c>
      <c r="N126" s="4">
        <v>4</v>
      </c>
    </row>
    <row r="127" spans="1:14" x14ac:dyDescent="0.25">
      <c r="A127" s="2">
        <v>1</v>
      </c>
      <c r="B127" s="1" t="s">
        <v>12</v>
      </c>
      <c r="C127" s="1" t="s">
        <v>13</v>
      </c>
      <c r="D127" s="1" t="s">
        <v>18</v>
      </c>
      <c r="E127" s="11" t="s">
        <v>47</v>
      </c>
      <c r="F127" s="12">
        <v>45839</v>
      </c>
      <c r="G127" s="1" t="s">
        <v>22</v>
      </c>
      <c r="H127" s="1" t="s">
        <v>24</v>
      </c>
      <c r="I127" s="2">
        <v>12</v>
      </c>
      <c r="J127" s="3">
        <v>126306</v>
      </c>
      <c r="K127" s="3">
        <v>1515672</v>
      </c>
      <c r="L127" s="3">
        <v>979318</v>
      </c>
      <c r="M127" s="3">
        <v>536354</v>
      </c>
      <c r="N127" s="4">
        <v>7</v>
      </c>
    </row>
    <row r="128" spans="1:14" x14ac:dyDescent="0.25">
      <c r="A128" s="2">
        <v>1</v>
      </c>
      <c r="B128" s="1" t="s">
        <v>12</v>
      </c>
      <c r="C128" s="1" t="s">
        <v>13</v>
      </c>
      <c r="D128" s="1" t="s">
        <v>14</v>
      </c>
      <c r="E128" s="11" t="s">
        <v>47</v>
      </c>
      <c r="F128" s="12">
        <v>45839</v>
      </c>
      <c r="G128" s="1" t="s">
        <v>22</v>
      </c>
      <c r="H128" s="1" t="s">
        <v>25</v>
      </c>
      <c r="I128" s="2">
        <v>10</v>
      </c>
      <c r="J128" s="3">
        <v>102986</v>
      </c>
      <c r="K128" s="3">
        <v>1029860</v>
      </c>
      <c r="L128" s="3">
        <v>472435</v>
      </c>
      <c r="M128" s="3">
        <v>557425</v>
      </c>
      <c r="N128" s="4">
        <v>12</v>
      </c>
    </row>
    <row r="129" spans="1:14" x14ac:dyDescent="0.25">
      <c r="A129" s="2">
        <v>1</v>
      </c>
      <c r="B129" s="1" t="s">
        <v>12</v>
      </c>
      <c r="C129" s="1" t="s">
        <v>13</v>
      </c>
      <c r="D129" s="1" t="s">
        <v>18</v>
      </c>
      <c r="E129" s="11" t="s">
        <v>47</v>
      </c>
      <c r="F129" s="12">
        <v>45839</v>
      </c>
      <c r="G129" s="1" t="s">
        <v>22</v>
      </c>
      <c r="H129" s="1" t="s">
        <v>26</v>
      </c>
      <c r="I129" s="2">
        <v>12</v>
      </c>
      <c r="J129" s="3">
        <v>58494</v>
      </c>
      <c r="K129" s="3">
        <v>701928</v>
      </c>
      <c r="L129" s="3">
        <v>360213</v>
      </c>
      <c r="M129" s="3">
        <v>341715</v>
      </c>
      <c r="N129" s="4">
        <v>12</v>
      </c>
    </row>
    <row r="130" spans="1:14" x14ac:dyDescent="0.25">
      <c r="A130" s="2">
        <v>1</v>
      </c>
      <c r="B130" s="1" t="s">
        <v>12</v>
      </c>
      <c r="C130" s="1" t="s">
        <v>13</v>
      </c>
      <c r="D130" s="1" t="s">
        <v>14</v>
      </c>
      <c r="E130" s="11" t="s">
        <v>47</v>
      </c>
      <c r="F130" s="12">
        <v>45839</v>
      </c>
      <c r="G130" s="1" t="s">
        <v>27</v>
      </c>
      <c r="H130" s="1" t="s">
        <v>28</v>
      </c>
      <c r="I130" s="2">
        <v>19</v>
      </c>
      <c r="J130" s="3">
        <v>143633</v>
      </c>
      <c r="K130" s="3">
        <v>2729027</v>
      </c>
      <c r="L130" s="3">
        <v>1650793</v>
      </c>
      <c r="M130" s="3">
        <v>1078234</v>
      </c>
      <c r="N130" s="4">
        <v>0</v>
      </c>
    </row>
    <row r="131" spans="1:14" x14ac:dyDescent="0.25">
      <c r="A131" s="2">
        <v>1</v>
      </c>
      <c r="B131" s="1" t="s">
        <v>12</v>
      </c>
      <c r="C131" s="1" t="s">
        <v>13</v>
      </c>
      <c r="D131" s="1" t="s">
        <v>18</v>
      </c>
      <c r="E131" s="11" t="s">
        <v>47</v>
      </c>
      <c r="F131" s="12">
        <v>45839</v>
      </c>
      <c r="G131" s="1" t="s">
        <v>27</v>
      </c>
      <c r="H131" s="1" t="s">
        <v>29</v>
      </c>
      <c r="I131" s="2">
        <v>8</v>
      </c>
      <c r="J131" s="3">
        <v>108668</v>
      </c>
      <c r="K131" s="3">
        <v>869344</v>
      </c>
      <c r="L131" s="3">
        <v>568083</v>
      </c>
      <c r="M131" s="3">
        <v>301261</v>
      </c>
      <c r="N131" s="4">
        <v>9</v>
      </c>
    </row>
    <row r="132" spans="1:14" x14ac:dyDescent="0.25">
      <c r="A132" s="2">
        <v>1</v>
      </c>
      <c r="B132" s="1" t="s">
        <v>12</v>
      </c>
      <c r="C132" s="1" t="s">
        <v>13</v>
      </c>
      <c r="D132" s="1" t="s">
        <v>18</v>
      </c>
      <c r="E132" s="11" t="s">
        <v>47</v>
      </c>
      <c r="F132" s="12">
        <v>45839</v>
      </c>
      <c r="G132" s="1" t="s">
        <v>27</v>
      </c>
      <c r="H132" s="1" t="s">
        <v>30</v>
      </c>
      <c r="I132" s="2">
        <v>2</v>
      </c>
      <c r="J132" s="3">
        <v>77458</v>
      </c>
      <c r="K132" s="3">
        <v>154916</v>
      </c>
      <c r="L132" s="3">
        <v>75065</v>
      </c>
      <c r="M132" s="3">
        <v>79851</v>
      </c>
      <c r="N132" s="4">
        <v>3</v>
      </c>
    </row>
    <row r="133" spans="1:14" x14ac:dyDescent="0.25">
      <c r="A133" s="2">
        <v>1</v>
      </c>
      <c r="B133" s="1" t="s">
        <v>12</v>
      </c>
      <c r="C133" s="1" t="s">
        <v>13</v>
      </c>
      <c r="D133" s="1" t="s">
        <v>14</v>
      </c>
      <c r="E133" s="11" t="s">
        <v>47</v>
      </c>
      <c r="F133" s="12">
        <v>45839</v>
      </c>
      <c r="G133" s="1" t="s">
        <v>27</v>
      </c>
      <c r="H133" s="1" t="s">
        <v>31</v>
      </c>
      <c r="I133" s="2">
        <v>18</v>
      </c>
      <c r="J133" s="3">
        <v>46092</v>
      </c>
      <c r="K133" s="3">
        <v>829656</v>
      </c>
      <c r="L133" s="3">
        <v>564991</v>
      </c>
      <c r="M133" s="3">
        <v>264665</v>
      </c>
      <c r="N133" s="4">
        <v>7</v>
      </c>
    </row>
    <row r="134" spans="1:14" x14ac:dyDescent="0.25">
      <c r="A134" s="2">
        <v>1</v>
      </c>
      <c r="B134" s="1" t="s">
        <v>12</v>
      </c>
      <c r="C134" s="1" t="s">
        <v>13</v>
      </c>
      <c r="D134" s="1" t="s">
        <v>14</v>
      </c>
      <c r="E134" s="11" t="s">
        <v>47</v>
      </c>
      <c r="F134" s="12">
        <v>45839</v>
      </c>
      <c r="G134" s="1" t="s">
        <v>32</v>
      </c>
      <c r="H134" s="1" t="s">
        <v>33</v>
      </c>
      <c r="I134" s="2">
        <v>4</v>
      </c>
      <c r="J134" s="3">
        <v>5728</v>
      </c>
      <c r="K134" s="3">
        <v>22912</v>
      </c>
      <c r="L134" s="3">
        <v>14687</v>
      </c>
      <c r="M134" s="3">
        <v>8225</v>
      </c>
      <c r="N134" s="4">
        <v>8</v>
      </c>
    </row>
    <row r="135" spans="1:14" x14ac:dyDescent="0.25">
      <c r="A135" s="2">
        <v>1</v>
      </c>
      <c r="B135" s="1" t="s">
        <v>12</v>
      </c>
      <c r="C135" s="1" t="s">
        <v>13</v>
      </c>
      <c r="D135" s="1" t="s">
        <v>14</v>
      </c>
      <c r="E135" s="11" t="s">
        <v>47</v>
      </c>
      <c r="F135" s="12">
        <v>45839</v>
      </c>
      <c r="G135" s="1" t="s">
        <v>32</v>
      </c>
      <c r="H135" s="1" t="s">
        <v>34</v>
      </c>
      <c r="I135" s="2">
        <v>4</v>
      </c>
      <c r="J135" s="3">
        <v>16657</v>
      </c>
      <c r="K135" s="3">
        <v>66628</v>
      </c>
      <c r="L135" s="3">
        <v>35115</v>
      </c>
      <c r="M135" s="3">
        <v>31513</v>
      </c>
      <c r="N135" s="4">
        <v>7</v>
      </c>
    </row>
    <row r="136" spans="1:14" x14ac:dyDescent="0.25">
      <c r="A136" s="2">
        <v>1</v>
      </c>
      <c r="B136" s="1" t="s">
        <v>12</v>
      </c>
      <c r="C136" s="1" t="s">
        <v>13</v>
      </c>
      <c r="D136" s="1" t="s">
        <v>18</v>
      </c>
      <c r="E136" s="11" t="s">
        <v>47</v>
      </c>
      <c r="F136" s="12">
        <v>45839</v>
      </c>
      <c r="G136" s="1" t="s">
        <v>32</v>
      </c>
      <c r="H136" s="1" t="s">
        <v>35</v>
      </c>
      <c r="I136" s="2">
        <v>3</v>
      </c>
      <c r="J136" s="3">
        <v>6122</v>
      </c>
      <c r="K136" s="3">
        <v>18366</v>
      </c>
      <c r="L136" s="3">
        <v>9619</v>
      </c>
      <c r="M136" s="3">
        <v>8747</v>
      </c>
      <c r="N136" s="4">
        <v>1</v>
      </c>
    </row>
    <row r="137" spans="1:14" x14ac:dyDescent="0.25">
      <c r="A137" s="2">
        <v>1</v>
      </c>
      <c r="B137" s="1" t="s">
        <v>12</v>
      </c>
      <c r="C137" s="1" t="s">
        <v>13</v>
      </c>
      <c r="D137" s="1" t="s">
        <v>14</v>
      </c>
      <c r="E137" s="11" t="s">
        <v>47</v>
      </c>
      <c r="F137" s="12">
        <v>45839</v>
      </c>
      <c r="G137" s="1" t="s">
        <v>32</v>
      </c>
      <c r="H137" s="1" t="s">
        <v>36</v>
      </c>
      <c r="I137" s="2">
        <v>17</v>
      </c>
      <c r="J137" s="3">
        <v>7143</v>
      </c>
      <c r="K137" s="3">
        <v>121431</v>
      </c>
      <c r="L137" s="3">
        <v>60987</v>
      </c>
      <c r="M137" s="3">
        <v>60444</v>
      </c>
      <c r="N137" s="4">
        <v>13</v>
      </c>
    </row>
    <row r="138" spans="1:14" x14ac:dyDescent="0.25">
      <c r="A138" s="2">
        <v>1</v>
      </c>
      <c r="B138" s="1" t="s">
        <v>12</v>
      </c>
      <c r="C138" s="1" t="s">
        <v>13</v>
      </c>
      <c r="D138" s="1" t="s">
        <v>14</v>
      </c>
      <c r="E138" s="11" t="s">
        <v>47</v>
      </c>
      <c r="F138" s="12">
        <v>45839</v>
      </c>
      <c r="G138" s="1" t="s">
        <v>37</v>
      </c>
      <c r="H138" s="1" t="s">
        <v>38</v>
      </c>
      <c r="I138" s="2">
        <v>5</v>
      </c>
      <c r="J138" s="3">
        <v>64811</v>
      </c>
      <c r="K138" s="3">
        <v>324055</v>
      </c>
      <c r="L138" s="3">
        <v>171327</v>
      </c>
      <c r="M138" s="3">
        <v>152728</v>
      </c>
      <c r="N138" s="4">
        <v>12</v>
      </c>
    </row>
    <row r="139" spans="1:14" x14ac:dyDescent="0.25">
      <c r="A139" s="2">
        <v>1</v>
      </c>
      <c r="B139" s="1" t="s">
        <v>12</v>
      </c>
      <c r="C139" s="1" t="s">
        <v>13</v>
      </c>
      <c r="D139" s="1" t="s">
        <v>14</v>
      </c>
      <c r="E139" s="11" t="s">
        <v>47</v>
      </c>
      <c r="F139" s="12">
        <v>45839</v>
      </c>
      <c r="G139" s="1" t="s">
        <v>37</v>
      </c>
      <c r="H139" s="1" t="s">
        <v>39</v>
      </c>
      <c r="I139" s="2">
        <v>3</v>
      </c>
      <c r="J139" s="3">
        <v>41352</v>
      </c>
      <c r="K139" s="3">
        <v>124056</v>
      </c>
      <c r="L139" s="3">
        <v>63680</v>
      </c>
      <c r="M139" s="3">
        <v>60376</v>
      </c>
      <c r="N139" s="4">
        <v>0</v>
      </c>
    </row>
    <row r="140" spans="1:14" x14ac:dyDescent="0.25">
      <c r="A140" s="2">
        <v>1</v>
      </c>
      <c r="B140" s="1" t="s">
        <v>12</v>
      </c>
      <c r="C140" s="1" t="s">
        <v>13</v>
      </c>
      <c r="D140" s="1" t="s">
        <v>14</v>
      </c>
      <c r="E140" s="11" t="s">
        <v>47</v>
      </c>
      <c r="F140" s="12">
        <v>45839</v>
      </c>
      <c r="G140" s="1" t="s">
        <v>37</v>
      </c>
      <c r="H140" s="1" t="s">
        <v>40</v>
      </c>
      <c r="I140" s="2">
        <v>16</v>
      </c>
      <c r="J140" s="3">
        <v>20728</v>
      </c>
      <c r="K140" s="3">
        <v>331648</v>
      </c>
      <c r="L140" s="3">
        <v>164502</v>
      </c>
      <c r="M140" s="3">
        <v>167146</v>
      </c>
      <c r="N140" s="4">
        <v>10</v>
      </c>
    </row>
    <row r="141" spans="1:14" x14ac:dyDescent="0.25">
      <c r="A141" s="2">
        <v>1</v>
      </c>
      <c r="B141" s="1" t="s">
        <v>12</v>
      </c>
      <c r="C141" s="1" t="s">
        <v>13</v>
      </c>
      <c r="D141" s="1" t="s">
        <v>18</v>
      </c>
      <c r="E141" s="11" t="s">
        <v>47</v>
      </c>
      <c r="F141" s="12">
        <v>45839</v>
      </c>
      <c r="G141" s="1" t="s">
        <v>37</v>
      </c>
      <c r="H141" s="1" t="s">
        <v>41</v>
      </c>
      <c r="I141" s="2">
        <v>19</v>
      </c>
      <c r="J141" s="3">
        <v>67280</v>
      </c>
      <c r="K141" s="3">
        <v>1278320</v>
      </c>
      <c r="L141" s="3">
        <v>531839</v>
      </c>
      <c r="M141" s="3">
        <v>746481</v>
      </c>
      <c r="N141" s="4">
        <v>12</v>
      </c>
    </row>
    <row r="142" spans="1:14" x14ac:dyDescent="0.25">
      <c r="A142" s="2">
        <v>1</v>
      </c>
      <c r="B142" s="1" t="s">
        <v>12</v>
      </c>
      <c r="C142" s="1" t="s">
        <v>13</v>
      </c>
      <c r="D142" s="1" t="s">
        <v>14</v>
      </c>
      <c r="E142" s="11" t="s">
        <v>48</v>
      </c>
      <c r="F142" s="12">
        <v>45870</v>
      </c>
      <c r="G142" s="1" t="s">
        <v>16</v>
      </c>
      <c r="H142" s="1" t="s">
        <v>17</v>
      </c>
      <c r="I142" s="2">
        <v>9</v>
      </c>
      <c r="J142" s="3">
        <v>44466</v>
      </c>
      <c r="K142" s="3">
        <v>400194</v>
      </c>
      <c r="L142" s="3">
        <v>171037</v>
      </c>
      <c r="M142" s="3">
        <v>229157</v>
      </c>
      <c r="N142" s="4">
        <v>6</v>
      </c>
    </row>
    <row r="143" spans="1:14" x14ac:dyDescent="0.25">
      <c r="A143" s="2">
        <v>1</v>
      </c>
      <c r="B143" s="1" t="s">
        <v>12</v>
      </c>
      <c r="C143" s="1" t="s">
        <v>13</v>
      </c>
      <c r="D143" s="1" t="s">
        <v>18</v>
      </c>
      <c r="E143" s="11" t="s">
        <v>48</v>
      </c>
      <c r="F143" s="12">
        <v>45870</v>
      </c>
      <c r="G143" s="1" t="s">
        <v>16</v>
      </c>
      <c r="H143" s="1" t="s">
        <v>19</v>
      </c>
      <c r="I143" s="2">
        <v>14</v>
      </c>
      <c r="J143" s="3">
        <v>71934</v>
      </c>
      <c r="K143" s="3">
        <v>1007076</v>
      </c>
      <c r="L143" s="3">
        <v>690030</v>
      </c>
      <c r="M143" s="3">
        <v>317046</v>
      </c>
      <c r="N143" s="4">
        <v>2</v>
      </c>
    </row>
    <row r="144" spans="1:14" x14ac:dyDescent="0.25">
      <c r="A144" s="2">
        <v>1</v>
      </c>
      <c r="B144" s="1" t="s">
        <v>12</v>
      </c>
      <c r="C144" s="1" t="s">
        <v>13</v>
      </c>
      <c r="D144" s="1" t="s">
        <v>18</v>
      </c>
      <c r="E144" s="11" t="s">
        <v>48</v>
      </c>
      <c r="F144" s="12">
        <v>45870</v>
      </c>
      <c r="G144" s="1" t="s">
        <v>16</v>
      </c>
      <c r="H144" s="1" t="s">
        <v>20</v>
      </c>
      <c r="I144" s="2">
        <v>15</v>
      </c>
      <c r="J144" s="3">
        <v>28335</v>
      </c>
      <c r="K144" s="3">
        <v>425025</v>
      </c>
      <c r="L144" s="3">
        <v>227190</v>
      </c>
      <c r="M144" s="3">
        <v>197835</v>
      </c>
      <c r="N144" s="4">
        <v>2</v>
      </c>
    </row>
    <row r="145" spans="1:14" x14ac:dyDescent="0.25">
      <c r="A145" s="2">
        <v>1</v>
      </c>
      <c r="B145" s="1" t="s">
        <v>12</v>
      </c>
      <c r="C145" s="1" t="s">
        <v>13</v>
      </c>
      <c r="D145" s="1" t="s">
        <v>18</v>
      </c>
      <c r="E145" s="11" t="s">
        <v>48</v>
      </c>
      <c r="F145" s="12">
        <v>45870</v>
      </c>
      <c r="G145" s="1" t="s">
        <v>16</v>
      </c>
      <c r="H145" s="1" t="s">
        <v>21</v>
      </c>
      <c r="I145" s="2">
        <v>12</v>
      </c>
      <c r="J145" s="3">
        <v>109112</v>
      </c>
      <c r="K145" s="3">
        <v>1309344</v>
      </c>
      <c r="L145" s="3">
        <v>741233</v>
      </c>
      <c r="M145" s="3">
        <v>568111</v>
      </c>
      <c r="N145" s="4">
        <v>4</v>
      </c>
    </row>
    <row r="146" spans="1:14" x14ac:dyDescent="0.25">
      <c r="A146" s="2">
        <v>1</v>
      </c>
      <c r="B146" s="1" t="s">
        <v>12</v>
      </c>
      <c r="C146" s="1" t="s">
        <v>13</v>
      </c>
      <c r="D146" s="1" t="s">
        <v>14</v>
      </c>
      <c r="E146" s="11" t="s">
        <v>48</v>
      </c>
      <c r="F146" s="12">
        <v>45870</v>
      </c>
      <c r="G146" s="1" t="s">
        <v>22</v>
      </c>
      <c r="H146" s="1" t="s">
        <v>23</v>
      </c>
      <c r="I146" s="2">
        <v>4</v>
      </c>
      <c r="J146" s="3">
        <v>138324</v>
      </c>
      <c r="K146" s="3">
        <v>553296</v>
      </c>
      <c r="L146" s="3">
        <v>352711</v>
      </c>
      <c r="M146" s="3">
        <v>200585</v>
      </c>
      <c r="N146" s="4">
        <v>8</v>
      </c>
    </row>
    <row r="147" spans="1:14" x14ac:dyDescent="0.25">
      <c r="A147" s="2">
        <v>1</v>
      </c>
      <c r="B147" s="1" t="s">
        <v>12</v>
      </c>
      <c r="C147" s="1" t="s">
        <v>13</v>
      </c>
      <c r="D147" s="1" t="s">
        <v>18</v>
      </c>
      <c r="E147" s="11" t="s">
        <v>48</v>
      </c>
      <c r="F147" s="12">
        <v>45870</v>
      </c>
      <c r="G147" s="1" t="s">
        <v>22</v>
      </c>
      <c r="H147" s="1" t="s">
        <v>24</v>
      </c>
      <c r="I147" s="2">
        <v>7</v>
      </c>
      <c r="J147" s="3">
        <v>104076</v>
      </c>
      <c r="K147" s="3">
        <v>728532</v>
      </c>
      <c r="L147" s="3">
        <v>494876</v>
      </c>
      <c r="M147" s="3">
        <v>233656</v>
      </c>
      <c r="N147" s="4">
        <v>9</v>
      </c>
    </row>
    <row r="148" spans="1:14" x14ac:dyDescent="0.25">
      <c r="A148" s="2">
        <v>1</v>
      </c>
      <c r="B148" s="1" t="s">
        <v>12</v>
      </c>
      <c r="C148" s="1" t="s">
        <v>13</v>
      </c>
      <c r="D148" s="1" t="s">
        <v>14</v>
      </c>
      <c r="E148" s="11" t="s">
        <v>48</v>
      </c>
      <c r="F148" s="12">
        <v>45870</v>
      </c>
      <c r="G148" s="1" t="s">
        <v>22</v>
      </c>
      <c r="H148" s="1" t="s">
        <v>25</v>
      </c>
      <c r="I148" s="2">
        <v>7</v>
      </c>
      <c r="J148" s="3">
        <v>108461</v>
      </c>
      <c r="K148" s="3">
        <v>759227</v>
      </c>
      <c r="L148" s="3">
        <v>428855</v>
      </c>
      <c r="M148" s="3">
        <v>330372</v>
      </c>
      <c r="N148" s="4">
        <v>4</v>
      </c>
    </row>
    <row r="149" spans="1:14" x14ac:dyDescent="0.25">
      <c r="A149" s="2">
        <v>1</v>
      </c>
      <c r="B149" s="1" t="s">
        <v>12</v>
      </c>
      <c r="C149" s="1" t="s">
        <v>13</v>
      </c>
      <c r="D149" s="1" t="s">
        <v>14</v>
      </c>
      <c r="E149" s="11" t="s">
        <v>48</v>
      </c>
      <c r="F149" s="12">
        <v>45870</v>
      </c>
      <c r="G149" s="1" t="s">
        <v>22</v>
      </c>
      <c r="H149" s="1" t="s">
        <v>26</v>
      </c>
      <c r="I149" s="2">
        <v>3</v>
      </c>
      <c r="J149" s="3">
        <v>58102</v>
      </c>
      <c r="K149" s="3">
        <v>174306</v>
      </c>
      <c r="L149" s="3">
        <v>98269</v>
      </c>
      <c r="M149" s="3">
        <v>76037</v>
      </c>
      <c r="N149" s="4">
        <v>10</v>
      </c>
    </row>
    <row r="150" spans="1:14" x14ac:dyDescent="0.25">
      <c r="A150" s="2">
        <v>1</v>
      </c>
      <c r="B150" s="1" t="s">
        <v>12</v>
      </c>
      <c r="C150" s="1" t="s">
        <v>13</v>
      </c>
      <c r="D150" s="1" t="s">
        <v>14</v>
      </c>
      <c r="E150" s="11" t="s">
        <v>48</v>
      </c>
      <c r="F150" s="12">
        <v>45870</v>
      </c>
      <c r="G150" s="1" t="s">
        <v>27</v>
      </c>
      <c r="H150" s="1" t="s">
        <v>28</v>
      </c>
      <c r="I150" s="2">
        <v>18</v>
      </c>
      <c r="J150" s="3">
        <v>123150</v>
      </c>
      <c r="K150" s="3">
        <v>2216700</v>
      </c>
      <c r="L150" s="3">
        <v>981770</v>
      </c>
      <c r="M150" s="3">
        <v>1234930</v>
      </c>
      <c r="N150" s="4">
        <v>9</v>
      </c>
    </row>
    <row r="151" spans="1:14" x14ac:dyDescent="0.25">
      <c r="A151" s="2">
        <v>1</v>
      </c>
      <c r="B151" s="1" t="s">
        <v>12</v>
      </c>
      <c r="C151" s="1" t="s">
        <v>13</v>
      </c>
      <c r="D151" s="1" t="s">
        <v>18</v>
      </c>
      <c r="E151" s="11" t="s">
        <v>48</v>
      </c>
      <c r="F151" s="12">
        <v>45870</v>
      </c>
      <c r="G151" s="1" t="s">
        <v>27</v>
      </c>
      <c r="H151" s="1" t="s">
        <v>29</v>
      </c>
      <c r="I151" s="2">
        <v>12</v>
      </c>
      <c r="J151" s="3">
        <v>92592</v>
      </c>
      <c r="K151" s="3">
        <v>1111104</v>
      </c>
      <c r="L151" s="3">
        <v>478148</v>
      </c>
      <c r="M151" s="3">
        <v>632956</v>
      </c>
      <c r="N151" s="4">
        <v>6</v>
      </c>
    </row>
    <row r="152" spans="1:14" x14ac:dyDescent="0.25">
      <c r="A152" s="2">
        <v>1</v>
      </c>
      <c r="B152" s="1" t="s">
        <v>12</v>
      </c>
      <c r="C152" s="1" t="s">
        <v>13</v>
      </c>
      <c r="D152" s="1" t="s">
        <v>18</v>
      </c>
      <c r="E152" s="11" t="s">
        <v>48</v>
      </c>
      <c r="F152" s="12">
        <v>45870</v>
      </c>
      <c r="G152" s="1" t="s">
        <v>27</v>
      </c>
      <c r="H152" s="1" t="s">
        <v>30</v>
      </c>
      <c r="I152" s="2">
        <v>14</v>
      </c>
      <c r="J152" s="3">
        <v>66732</v>
      </c>
      <c r="K152" s="3">
        <v>934248</v>
      </c>
      <c r="L152" s="3">
        <v>436081</v>
      </c>
      <c r="M152" s="3">
        <v>498167</v>
      </c>
      <c r="N152" s="4">
        <v>8</v>
      </c>
    </row>
    <row r="153" spans="1:14" x14ac:dyDescent="0.25">
      <c r="A153" s="2">
        <v>1</v>
      </c>
      <c r="B153" s="1" t="s">
        <v>12</v>
      </c>
      <c r="C153" s="1" t="s">
        <v>13</v>
      </c>
      <c r="D153" s="1" t="s">
        <v>18</v>
      </c>
      <c r="E153" s="11" t="s">
        <v>48</v>
      </c>
      <c r="F153" s="12">
        <v>45870</v>
      </c>
      <c r="G153" s="1" t="s">
        <v>27</v>
      </c>
      <c r="H153" s="1" t="s">
        <v>31</v>
      </c>
      <c r="I153" s="2">
        <v>18</v>
      </c>
      <c r="J153" s="3">
        <v>108858</v>
      </c>
      <c r="K153" s="3">
        <v>1959444</v>
      </c>
      <c r="L153" s="3">
        <v>1198930</v>
      </c>
      <c r="M153" s="3">
        <v>760514</v>
      </c>
      <c r="N153" s="4">
        <v>4</v>
      </c>
    </row>
    <row r="154" spans="1:14" x14ac:dyDescent="0.25">
      <c r="A154" s="2">
        <v>1</v>
      </c>
      <c r="B154" s="1" t="s">
        <v>12</v>
      </c>
      <c r="C154" s="1" t="s">
        <v>13</v>
      </c>
      <c r="D154" s="1" t="s">
        <v>14</v>
      </c>
      <c r="E154" s="11" t="s">
        <v>48</v>
      </c>
      <c r="F154" s="12">
        <v>45870</v>
      </c>
      <c r="G154" s="1" t="s">
        <v>32</v>
      </c>
      <c r="H154" s="1" t="s">
        <v>33</v>
      </c>
      <c r="I154" s="2">
        <v>5</v>
      </c>
      <c r="J154" s="3">
        <v>10541</v>
      </c>
      <c r="K154" s="3">
        <v>52705</v>
      </c>
      <c r="L154" s="3">
        <v>36682</v>
      </c>
      <c r="M154" s="3">
        <v>16023</v>
      </c>
      <c r="N154" s="4">
        <v>12</v>
      </c>
    </row>
    <row r="155" spans="1:14" x14ac:dyDescent="0.25">
      <c r="A155" s="2">
        <v>1</v>
      </c>
      <c r="B155" s="1" t="s">
        <v>12</v>
      </c>
      <c r="C155" s="1" t="s">
        <v>13</v>
      </c>
      <c r="D155" s="1" t="s">
        <v>18</v>
      </c>
      <c r="E155" s="11" t="s">
        <v>48</v>
      </c>
      <c r="F155" s="12">
        <v>45870</v>
      </c>
      <c r="G155" s="1" t="s">
        <v>32</v>
      </c>
      <c r="H155" s="1" t="s">
        <v>34</v>
      </c>
      <c r="I155" s="2">
        <v>1</v>
      </c>
      <c r="J155" s="3">
        <v>6365</v>
      </c>
      <c r="K155" s="3">
        <v>6365</v>
      </c>
      <c r="L155" s="3">
        <v>4098</v>
      </c>
      <c r="M155" s="3">
        <v>2267</v>
      </c>
      <c r="N155" s="4">
        <v>14</v>
      </c>
    </row>
    <row r="156" spans="1:14" x14ac:dyDescent="0.25">
      <c r="A156" s="2">
        <v>1</v>
      </c>
      <c r="B156" s="1" t="s">
        <v>12</v>
      </c>
      <c r="C156" s="1" t="s">
        <v>13</v>
      </c>
      <c r="D156" s="1" t="s">
        <v>18</v>
      </c>
      <c r="E156" s="11" t="s">
        <v>48</v>
      </c>
      <c r="F156" s="12">
        <v>45870</v>
      </c>
      <c r="G156" s="1" t="s">
        <v>32</v>
      </c>
      <c r="H156" s="1" t="s">
        <v>35</v>
      </c>
      <c r="I156" s="2">
        <v>7</v>
      </c>
      <c r="J156" s="3">
        <v>9312</v>
      </c>
      <c r="K156" s="3">
        <v>65184</v>
      </c>
      <c r="L156" s="3">
        <v>37648</v>
      </c>
      <c r="M156" s="3">
        <v>27536</v>
      </c>
      <c r="N156" s="4">
        <v>3</v>
      </c>
    </row>
    <row r="157" spans="1:14" x14ac:dyDescent="0.25">
      <c r="A157" s="2">
        <v>1</v>
      </c>
      <c r="B157" s="1" t="s">
        <v>12</v>
      </c>
      <c r="C157" s="1" t="s">
        <v>13</v>
      </c>
      <c r="D157" s="1" t="s">
        <v>18</v>
      </c>
      <c r="E157" s="11" t="s">
        <v>48</v>
      </c>
      <c r="F157" s="12">
        <v>45870</v>
      </c>
      <c r="G157" s="1" t="s">
        <v>32</v>
      </c>
      <c r="H157" s="1" t="s">
        <v>36</v>
      </c>
      <c r="I157" s="2">
        <v>6</v>
      </c>
      <c r="J157" s="3">
        <v>12419</v>
      </c>
      <c r="K157" s="3">
        <v>74514</v>
      </c>
      <c r="L157" s="3">
        <v>31672</v>
      </c>
      <c r="M157" s="3">
        <v>42842</v>
      </c>
      <c r="N157" s="4">
        <v>12</v>
      </c>
    </row>
    <row r="158" spans="1:14" x14ac:dyDescent="0.25">
      <c r="A158" s="2">
        <v>1</v>
      </c>
      <c r="B158" s="1" t="s">
        <v>12</v>
      </c>
      <c r="C158" s="1" t="s">
        <v>13</v>
      </c>
      <c r="D158" s="1" t="s">
        <v>14</v>
      </c>
      <c r="E158" s="11" t="s">
        <v>48</v>
      </c>
      <c r="F158" s="12">
        <v>45870</v>
      </c>
      <c r="G158" s="1" t="s">
        <v>37</v>
      </c>
      <c r="H158" s="1" t="s">
        <v>38</v>
      </c>
      <c r="I158" s="2">
        <v>12</v>
      </c>
      <c r="J158" s="3">
        <v>123605</v>
      </c>
      <c r="K158" s="3">
        <v>1483260</v>
      </c>
      <c r="L158" s="3">
        <v>907051</v>
      </c>
      <c r="M158" s="3">
        <v>576209</v>
      </c>
      <c r="N158" s="4">
        <v>9</v>
      </c>
    </row>
    <row r="159" spans="1:14" x14ac:dyDescent="0.25">
      <c r="A159" s="2">
        <v>1</v>
      </c>
      <c r="B159" s="1" t="s">
        <v>12</v>
      </c>
      <c r="C159" s="1" t="s">
        <v>13</v>
      </c>
      <c r="D159" s="1" t="s">
        <v>14</v>
      </c>
      <c r="E159" s="11" t="s">
        <v>48</v>
      </c>
      <c r="F159" s="12">
        <v>45870</v>
      </c>
      <c r="G159" s="1" t="s">
        <v>37</v>
      </c>
      <c r="H159" s="1" t="s">
        <v>39</v>
      </c>
      <c r="I159" s="2">
        <v>19</v>
      </c>
      <c r="J159" s="3">
        <v>114246</v>
      </c>
      <c r="K159" s="3">
        <v>2170674</v>
      </c>
      <c r="L159" s="3">
        <v>1151185</v>
      </c>
      <c r="M159" s="3">
        <v>1019489</v>
      </c>
      <c r="N159" s="4">
        <v>12</v>
      </c>
    </row>
    <row r="160" spans="1:14" x14ac:dyDescent="0.25">
      <c r="A160" s="2">
        <v>1</v>
      </c>
      <c r="B160" s="1" t="s">
        <v>12</v>
      </c>
      <c r="C160" s="1" t="s">
        <v>13</v>
      </c>
      <c r="D160" s="1" t="s">
        <v>14</v>
      </c>
      <c r="E160" s="11" t="s">
        <v>48</v>
      </c>
      <c r="F160" s="12">
        <v>45870</v>
      </c>
      <c r="G160" s="1" t="s">
        <v>37</v>
      </c>
      <c r="H160" s="1" t="s">
        <v>40</v>
      </c>
      <c r="I160" s="2">
        <v>13</v>
      </c>
      <c r="J160" s="3">
        <v>106769</v>
      </c>
      <c r="K160" s="3">
        <v>1387997</v>
      </c>
      <c r="L160" s="3">
        <v>750348</v>
      </c>
      <c r="M160" s="3">
        <v>637649</v>
      </c>
      <c r="N160" s="4">
        <v>9</v>
      </c>
    </row>
    <row r="161" spans="1:14" x14ac:dyDescent="0.25">
      <c r="A161" s="2">
        <v>1</v>
      </c>
      <c r="B161" s="1" t="s">
        <v>12</v>
      </c>
      <c r="C161" s="1" t="s">
        <v>13</v>
      </c>
      <c r="D161" s="1" t="s">
        <v>18</v>
      </c>
      <c r="E161" s="11" t="s">
        <v>48</v>
      </c>
      <c r="F161" s="12">
        <v>45870</v>
      </c>
      <c r="G161" s="1" t="s">
        <v>37</v>
      </c>
      <c r="H161" s="1" t="s">
        <v>41</v>
      </c>
      <c r="I161" s="2">
        <v>8</v>
      </c>
      <c r="J161" s="3">
        <v>33116</v>
      </c>
      <c r="K161" s="3">
        <v>264928</v>
      </c>
      <c r="L161" s="3">
        <v>171365</v>
      </c>
      <c r="M161" s="3">
        <v>93563</v>
      </c>
      <c r="N161" s="4">
        <v>6</v>
      </c>
    </row>
    <row r="162" spans="1:14" x14ac:dyDescent="0.25">
      <c r="A162" s="2">
        <v>1</v>
      </c>
      <c r="B162" s="1" t="s">
        <v>12</v>
      </c>
      <c r="C162" s="1" t="s">
        <v>13</v>
      </c>
      <c r="D162" s="1" t="s">
        <v>18</v>
      </c>
      <c r="E162" s="11" t="s">
        <v>49</v>
      </c>
      <c r="F162" s="12">
        <v>45901</v>
      </c>
      <c r="G162" s="1" t="s">
        <v>16</v>
      </c>
      <c r="H162" s="1" t="s">
        <v>17</v>
      </c>
      <c r="I162" s="2">
        <v>1</v>
      </c>
      <c r="J162" s="3">
        <v>59298</v>
      </c>
      <c r="K162" s="3">
        <v>59298</v>
      </c>
      <c r="L162" s="3">
        <v>34096</v>
      </c>
      <c r="M162" s="3">
        <v>25202</v>
      </c>
      <c r="N162" s="4">
        <v>13</v>
      </c>
    </row>
    <row r="163" spans="1:14" x14ac:dyDescent="0.25">
      <c r="A163" s="2">
        <v>1</v>
      </c>
      <c r="B163" s="1" t="s">
        <v>12</v>
      </c>
      <c r="C163" s="1" t="s">
        <v>13</v>
      </c>
      <c r="D163" s="1" t="s">
        <v>18</v>
      </c>
      <c r="E163" s="11" t="s">
        <v>49</v>
      </c>
      <c r="F163" s="12">
        <v>45901</v>
      </c>
      <c r="G163" s="1" t="s">
        <v>16</v>
      </c>
      <c r="H163" s="1" t="s">
        <v>19</v>
      </c>
      <c r="I163" s="2">
        <v>17</v>
      </c>
      <c r="J163" s="3">
        <v>43960</v>
      </c>
      <c r="K163" s="3">
        <v>747320</v>
      </c>
      <c r="L163" s="3">
        <v>493664</v>
      </c>
      <c r="M163" s="3">
        <v>253656</v>
      </c>
      <c r="N163" s="4">
        <v>5</v>
      </c>
    </row>
    <row r="164" spans="1:14" x14ac:dyDescent="0.25">
      <c r="A164" s="2">
        <v>1</v>
      </c>
      <c r="B164" s="1" t="s">
        <v>12</v>
      </c>
      <c r="C164" s="1" t="s">
        <v>13</v>
      </c>
      <c r="D164" s="1" t="s">
        <v>14</v>
      </c>
      <c r="E164" s="11" t="s">
        <v>49</v>
      </c>
      <c r="F164" s="12">
        <v>45901</v>
      </c>
      <c r="G164" s="1" t="s">
        <v>16</v>
      </c>
      <c r="H164" s="1" t="s">
        <v>20</v>
      </c>
      <c r="I164" s="2">
        <v>6</v>
      </c>
      <c r="J164" s="3">
        <v>87641</v>
      </c>
      <c r="K164" s="3">
        <v>525846</v>
      </c>
      <c r="L164" s="3">
        <v>212255</v>
      </c>
      <c r="M164" s="3">
        <v>313591</v>
      </c>
      <c r="N164" s="4">
        <v>12</v>
      </c>
    </row>
    <row r="165" spans="1:14" x14ac:dyDescent="0.25">
      <c r="A165" s="2">
        <v>1</v>
      </c>
      <c r="B165" s="1" t="s">
        <v>12</v>
      </c>
      <c r="C165" s="1" t="s">
        <v>13</v>
      </c>
      <c r="D165" s="1" t="s">
        <v>18</v>
      </c>
      <c r="E165" s="11" t="s">
        <v>49</v>
      </c>
      <c r="F165" s="12">
        <v>45901</v>
      </c>
      <c r="G165" s="1" t="s">
        <v>16</v>
      </c>
      <c r="H165" s="1" t="s">
        <v>21</v>
      </c>
      <c r="I165" s="2">
        <v>15</v>
      </c>
      <c r="J165" s="3">
        <v>148148</v>
      </c>
      <c r="K165" s="3">
        <v>2222220</v>
      </c>
      <c r="L165" s="3">
        <v>917821</v>
      </c>
      <c r="M165" s="3">
        <v>1304399</v>
      </c>
      <c r="N165" s="4">
        <v>4</v>
      </c>
    </row>
    <row r="166" spans="1:14" x14ac:dyDescent="0.25">
      <c r="A166" s="2">
        <v>1</v>
      </c>
      <c r="B166" s="1" t="s">
        <v>12</v>
      </c>
      <c r="C166" s="1" t="s">
        <v>13</v>
      </c>
      <c r="D166" s="1" t="s">
        <v>18</v>
      </c>
      <c r="E166" s="11" t="s">
        <v>49</v>
      </c>
      <c r="F166" s="12">
        <v>45901</v>
      </c>
      <c r="G166" s="1" t="s">
        <v>22</v>
      </c>
      <c r="H166" s="1" t="s">
        <v>23</v>
      </c>
      <c r="I166" s="2">
        <v>11</v>
      </c>
      <c r="J166" s="3">
        <v>96539</v>
      </c>
      <c r="K166" s="3">
        <v>1061929</v>
      </c>
      <c r="L166" s="3">
        <v>448281</v>
      </c>
      <c r="M166" s="3">
        <v>613648</v>
      </c>
      <c r="N166" s="4">
        <v>2</v>
      </c>
    </row>
    <row r="167" spans="1:14" x14ac:dyDescent="0.25">
      <c r="A167" s="2">
        <v>1</v>
      </c>
      <c r="B167" s="1" t="s">
        <v>12</v>
      </c>
      <c r="C167" s="1" t="s">
        <v>13</v>
      </c>
      <c r="D167" s="1" t="s">
        <v>18</v>
      </c>
      <c r="E167" s="11" t="s">
        <v>49</v>
      </c>
      <c r="F167" s="12">
        <v>45901</v>
      </c>
      <c r="G167" s="1" t="s">
        <v>22</v>
      </c>
      <c r="H167" s="1" t="s">
        <v>24</v>
      </c>
      <c r="I167" s="2">
        <v>19</v>
      </c>
      <c r="J167" s="3">
        <v>33843</v>
      </c>
      <c r="K167" s="3">
        <v>643017</v>
      </c>
      <c r="L167" s="3">
        <v>271758</v>
      </c>
      <c r="M167" s="3">
        <v>371259</v>
      </c>
      <c r="N167" s="4">
        <v>14</v>
      </c>
    </row>
    <row r="168" spans="1:14" x14ac:dyDescent="0.25">
      <c r="A168" s="2">
        <v>1</v>
      </c>
      <c r="B168" s="1" t="s">
        <v>12</v>
      </c>
      <c r="C168" s="1" t="s">
        <v>13</v>
      </c>
      <c r="D168" s="1" t="s">
        <v>18</v>
      </c>
      <c r="E168" s="11" t="s">
        <v>49</v>
      </c>
      <c r="F168" s="12">
        <v>45901</v>
      </c>
      <c r="G168" s="1" t="s">
        <v>22</v>
      </c>
      <c r="H168" s="1" t="s">
        <v>25</v>
      </c>
      <c r="I168" s="2">
        <v>9</v>
      </c>
      <c r="J168" s="3">
        <v>72528</v>
      </c>
      <c r="K168" s="3">
        <v>652752</v>
      </c>
      <c r="L168" s="3">
        <v>397346</v>
      </c>
      <c r="M168" s="3">
        <v>255406</v>
      </c>
      <c r="N168" s="4">
        <v>14</v>
      </c>
    </row>
    <row r="169" spans="1:14" x14ac:dyDescent="0.25">
      <c r="A169" s="2">
        <v>1</v>
      </c>
      <c r="B169" s="1" t="s">
        <v>12</v>
      </c>
      <c r="C169" s="1" t="s">
        <v>13</v>
      </c>
      <c r="D169" s="1" t="s">
        <v>18</v>
      </c>
      <c r="E169" s="11" t="s">
        <v>49</v>
      </c>
      <c r="F169" s="12">
        <v>45901</v>
      </c>
      <c r="G169" s="1" t="s">
        <v>22</v>
      </c>
      <c r="H169" s="1" t="s">
        <v>26</v>
      </c>
      <c r="I169" s="2">
        <v>1</v>
      </c>
      <c r="J169" s="3">
        <v>127892</v>
      </c>
      <c r="K169" s="3">
        <v>127892</v>
      </c>
      <c r="L169" s="3">
        <v>77896</v>
      </c>
      <c r="M169" s="3">
        <v>49996</v>
      </c>
      <c r="N169" s="4">
        <v>2</v>
      </c>
    </row>
    <row r="170" spans="1:14" x14ac:dyDescent="0.25">
      <c r="A170" s="2">
        <v>1</v>
      </c>
      <c r="B170" s="1" t="s">
        <v>12</v>
      </c>
      <c r="C170" s="1" t="s">
        <v>13</v>
      </c>
      <c r="D170" s="1" t="s">
        <v>18</v>
      </c>
      <c r="E170" s="11" t="s">
        <v>49</v>
      </c>
      <c r="F170" s="12">
        <v>45901</v>
      </c>
      <c r="G170" s="1" t="s">
        <v>27</v>
      </c>
      <c r="H170" s="1" t="s">
        <v>28</v>
      </c>
      <c r="I170" s="2">
        <v>16</v>
      </c>
      <c r="J170" s="3">
        <v>61430</v>
      </c>
      <c r="K170" s="3">
        <v>982880</v>
      </c>
      <c r="L170" s="3">
        <v>406552</v>
      </c>
      <c r="M170" s="3">
        <v>576328</v>
      </c>
      <c r="N170" s="4">
        <v>11</v>
      </c>
    </row>
    <row r="171" spans="1:14" x14ac:dyDescent="0.25">
      <c r="A171" s="2">
        <v>1</v>
      </c>
      <c r="B171" s="1" t="s">
        <v>12</v>
      </c>
      <c r="C171" s="1" t="s">
        <v>13</v>
      </c>
      <c r="D171" s="1" t="s">
        <v>18</v>
      </c>
      <c r="E171" s="11" t="s">
        <v>49</v>
      </c>
      <c r="F171" s="12">
        <v>45901</v>
      </c>
      <c r="G171" s="1" t="s">
        <v>27</v>
      </c>
      <c r="H171" s="1" t="s">
        <v>29</v>
      </c>
      <c r="I171" s="2">
        <v>10</v>
      </c>
      <c r="J171" s="3">
        <v>30975</v>
      </c>
      <c r="K171" s="3">
        <v>309750</v>
      </c>
      <c r="L171" s="3">
        <v>129277</v>
      </c>
      <c r="M171" s="3">
        <v>180473</v>
      </c>
      <c r="N171" s="4">
        <v>5</v>
      </c>
    </row>
    <row r="172" spans="1:14" x14ac:dyDescent="0.25">
      <c r="A172" s="2">
        <v>1</v>
      </c>
      <c r="B172" s="1" t="s">
        <v>12</v>
      </c>
      <c r="C172" s="1" t="s">
        <v>13</v>
      </c>
      <c r="D172" s="1" t="s">
        <v>18</v>
      </c>
      <c r="E172" s="11" t="s">
        <v>49</v>
      </c>
      <c r="F172" s="12">
        <v>45901</v>
      </c>
      <c r="G172" s="1" t="s">
        <v>27</v>
      </c>
      <c r="H172" s="1" t="s">
        <v>30</v>
      </c>
      <c r="I172" s="2">
        <v>12</v>
      </c>
      <c r="J172" s="3">
        <v>43959</v>
      </c>
      <c r="K172" s="3">
        <v>527508</v>
      </c>
      <c r="L172" s="3">
        <v>309140</v>
      </c>
      <c r="M172" s="3">
        <v>218368</v>
      </c>
      <c r="N172" s="4">
        <v>7</v>
      </c>
    </row>
    <row r="173" spans="1:14" x14ac:dyDescent="0.25">
      <c r="A173" s="2">
        <v>1</v>
      </c>
      <c r="B173" s="1" t="s">
        <v>12</v>
      </c>
      <c r="C173" s="1" t="s">
        <v>13</v>
      </c>
      <c r="D173" s="1" t="s">
        <v>18</v>
      </c>
      <c r="E173" s="11" t="s">
        <v>49</v>
      </c>
      <c r="F173" s="12">
        <v>45901</v>
      </c>
      <c r="G173" s="1" t="s">
        <v>27</v>
      </c>
      <c r="H173" s="1" t="s">
        <v>31</v>
      </c>
      <c r="I173" s="2">
        <v>4</v>
      </c>
      <c r="J173" s="3">
        <v>81529</v>
      </c>
      <c r="K173" s="3">
        <v>326116</v>
      </c>
      <c r="L173" s="3">
        <v>168432</v>
      </c>
      <c r="M173" s="3">
        <v>157684</v>
      </c>
      <c r="N173" s="4">
        <v>11</v>
      </c>
    </row>
    <row r="174" spans="1:14" x14ac:dyDescent="0.25">
      <c r="A174" s="2">
        <v>1</v>
      </c>
      <c r="B174" s="1" t="s">
        <v>12</v>
      </c>
      <c r="C174" s="1" t="s">
        <v>13</v>
      </c>
      <c r="D174" s="1" t="s">
        <v>18</v>
      </c>
      <c r="E174" s="11" t="s">
        <v>49</v>
      </c>
      <c r="F174" s="12">
        <v>45901</v>
      </c>
      <c r="G174" s="1" t="s">
        <v>32</v>
      </c>
      <c r="H174" s="1" t="s">
        <v>33</v>
      </c>
      <c r="I174" s="2">
        <v>18</v>
      </c>
      <c r="J174" s="3">
        <v>5539</v>
      </c>
      <c r="K174" s="3">
        <v>99702</v>
      </c>
      <c r="L174" s="3">
        <v>42205</v>
      </c>
      <c r="M174" s="3">
        <v>57497</v>
      </c>
      <c r="N174" s="4">
        <v>8</v>
      </c>
    </row>
    <row r="175" spans="1:14" x14ac:dyDescent="0.25">
      <c r="A175" s="2">
        <v>1</v>
      </c>
      <c r="B175" s="1" t="s">
        <v>12</v>
      </c>
      <c r="C175" s="1" t="s">
        <v>13</v>
      </c>
      <c r="D175" s="1" t="s">
        <v>18</v>
      </c>
      <c r="E175" s="11" t="s">
        <v>49</v>
      </c>
      <c r="F175" s="12">
        <v>45901</v>
      </c>
      <c r="G175" s="1" t="s">
        <v>32</v>
      </c>
      <c r="H175" s="1" t="s">
        <v>34</v>
      </c>
      <c r="I175" s="2">
        <v>4</v>
      </c>
      <c r="J175" s="3">
        <v>8775</v>
      </c>
      <c r="K175" s="3">
        <v>35100</v>
      </c>
      <c r="L175" s="3">
        <v>18812</v>
      </c>
      <c r="M175" s="3">
        <v>16288</v>
      </c>
      <c r="N175" s="4">
        <v>14</v>
      </c>
    </row>
    <row r="176" spans="1:14" x14ac:dyDescent="0.25">
      <c r="A176" s="2">
        <v>1</v>
      </c>
      <c r="B176" s="1" t="s">
        <v>12</v>
      </c>
      <c r="C176" s="1" t="s">
        <v>13</v>
      </c>
      <c r="D176" s="1" t="s">
        <v>18</v>
      </c>
      <c r="E176" s="11" t="s">
        <v>49</v>
      </c>
      <c r="F176" s="12">
        <v>45901</v>
      </c>
      <c r="G176" s="1" t="s">
        <v>32</v>
      </c>
      <c r="H176" s="1" t="s">
        <v>35</v>
      </c>
      <c r="I176" s="2">
        <v>17</v>
      </c>
      <c r="J176" s="3">
        <v>10320</v>
      </c>
      <c r="K176" s="3">
        <v>175440</v>
      </c>
      <c r="L176" s="3">
        <v>86467</v>
      </c>
      <c r="M176" s="3">
        <v>88973</v>
      </c>
      <c r="N176" s="4">
        <v>3</v>
      </c>
    </row>
    <row r="177" spans="1:14" x14ac:dyDescent="0.25">
      <c r="A177" s="2">
        <v>1</v>
      </c>
      <c r="B177" s="1" t="s">
        <v>12</v>
      </c>
      <c r="C177" s="1" t="s">
        <v>13</v>
      </c>
      <c r="D177" s="1" t="s">
        <v>14</v>
      </c>
      <c r="E177" s="11" t="s">
        <v>49</v>
      </c>
      <c r="F177" s="12">
        <v>45901</v>
      </c>
      <c r="G177" s="1" t="s">
        <v>32</v>
      </c>
      <c r="H177" s="1" t="s">
        <v>36</v>
      </c>
      <c r="I177" s="2">
        <v>13</v>
      </c>
      <c r="J177" s="3">
        <v>7779</v>
      </c>
      <c r="K177" s="3">
        <v>101127</v>
      </c>
      <c r="L177" s="3">
        <v>48671</v>
      </c>
      <c r="M177" s="3">
        <v>52456</v>
      </c>
      <c r="N177" s="4">
        <v>12</v>
      </c>
    </row>
    <row r="178" spans="1:14" x14ac:dyDescent="0.25">
      <c r="A178" s="2">
        <v>1</v>
      </c>
      <c r="B178" s="1" t="s">
        <v>12</v>
      </c>
      <c r="C178" s="1" t="s">
        <v>13</v>
      </c>
      <c r="D178" s="1" t="s">
        <v>18</v>
      </c>
      <c r="E178" s="11" t="s">
        <v>49</v>
      </c>
      <c r="F178" s="12">
        <v>45901</v>
      </c>
      <c r="G178" s="1" t="s">
        <v>37</v>
      </c>
      <c r="H178" s="1" t="s">
        <v>38</v>
      </c>
      <c r="I178" s="2">
        <v>14</v>
      </c>
      <c r="J178" s="3">
        <v>142402</v>
      </c>
      <c r="K178" s="3">
        <v>1993628</v>
      </c>
      <c r="L178" s="3">
        <v>1289401</v>
      </c>
      <c r="M178" s="3">
        <v>704227</v>
      </c>
      <c r="N178" s="4">
        <v>1</v>
      </c>
    </row>
    <row r="179" spans="1:14" x14ac:dyDescent="0.25">
      <c r="A179" s="2">
        <v>1</v>
      </c>
      <c r="B179" s="1" t="s">
        <v>12</v>
      </c>
      <c r="C179" s="1" t="s">
        <v>13</v>
      </c>
      <c r="D179" s="1" t="s">
        <v>14</v>
      </c>
      <c r="E179" s="11" t="s">
        <v>49</v>
      </c>
      <c r="F179" s="12">
        <v>45901</v>
      </c>
      <c r="G179" s="1" t="s">
        <v>37</v>
      </c>
      <c r="H179" s="1" t="s">
        <v>39</v>
      </c>
      <c r="I179" s="2">
        <v>19</v>
      </c>
      <c r="J179" s="3">
        <v>69407</v>
      </c>
      <c r="K179" s="3">
        <v>1318733</v>
      </c>
      <c r="L179" s="3">
        <v>757412</v>
      </c>
      <c r="M179" s="3">
        <v>561321</v>
      </c>
      <c r="N179" s="4">
        <v>8</v>
      </c>
    </row>
    <row r="180" spans="1:14" x14ac:dyDescent="0.25">
      <c r="A180" s="2">
        <v>1</v>
      </c>
      <c r="B180" s="1" t="s">
        <v>12</v>
      </c>
      <c r="C180" s="1" t="s">
        <v>13</v>
      </c>
      <c r="D180" s="1" t="s">
        <v>18</v>
      </c>
      <c r="E180" s="11" t="s">
        <v>49</v>
      </c>
      <c r="F180" s="12">
        <v>45901</v>
      </c>
      <c r="G180" s="1" t="s">
        <v>37</v>
      </c>
      <c r="H180" s="1" t="s">
        <v>40</v>
      </c>
      <c r="I180" s="2">
        <v>2</v>
      </c>
      <c r="J180" s="3">
        <v>85545</v>
      </c>
      <c r="K180" s="3">
        <v>171090</v>
      </c>
      <c r="L180" s="3">
        <v>116310</v>
      </c>
      <c r="M180" s="3">
        <v>54780</v>
      </c>
      <c r="N180" s="4">
        <v>1</v>
      </c>
    </row>
    <row r="181" spans="1:14" x14ac:dyDescent="0.25">
      <c r="A181" s="2">
        <v>1</v>
      </c>
      <c r="B181" s="1" t="s">
        <v>12</v>
      </c>
      <c r="C181" s="1" t="s">
        <v>13</v>
      </c>
      <c r="D181" s="1" t="s">
        <v>14</v>
      </c>
      <c r="E181" s="11" t="s">
        <v>49</v>
      </c>
      <c r="F181" s="12">
        <v>45901</v>
      </c>
      <c r="G181" s="1" t="s">
        <v>37</v>
      </c>
      <c r="H181" s="1" t="s">
        <v>41</v>
      </c>
      <c r="I181" s="2">
        <v>13</v>
      </c>
      <c r="J181" s="3">
        <v>57892</v>
      </c>
      <c r="K181" s="3">
        <v>752596</v>
      </c>
      <c r="L181" s="3">
        <v>306991</v>
      </c>
      <c r="M181" s="3">
        <v>445605</v>
      </c>
      <c r="N181" s="4">
        <v>0</v>
      </c>
    </row>
    <row r="182" spans="1:14" x14ac:dyDescent="0.25">
      <c r="A182" s="2">
        <v>1</v>
      </c>
      <c r="B182" s="1" t="s">
        <v>12</v>
      </c>
      <c r="C182" s="1" t="s">
        <v>13</v>
      </c>
      <c r="D182" s="1" t="s">
        <v>18</v>
      </c>
      <c r="E182" s="11" t="s">
        <v>50</v>
      </c>
      <c r="F182" s="12">
        <v>45931</v>
      </c>
      <c r="G182" s="1" t="s">
        <v>16</v>
      </c>
      <c r="H182" s="1" t="s">
        <v>17</v>
      </c>
      <c r="I182" s="2">
        <v>1</v>
      </c>
      <c r="J182" s="3">
        <v>120497</v>
      </c>
      <c r="K182" s="3">
        <v>120497</v>
      </c>
      <c r="L182" s="3">
        <v>83887</v>
      </c>
      <c r="M182" s="3">
        <v>36610</v>
      </c>
      <c r="N182" s="4">
        <v>0</v>
      </c>
    </row>
    <row r="183" spans="1:14" x14ac:dyDescent="0.25">
      <c r="A183" s="2">
        <v>1</v>
      </c>
      <c r="B183" s="1" t="s">
        <v>12</v>
      </c>
      <c r="C183" s="1" t="s">
        <v>13</v>
      </c>
      <c r="D183" s="1" t="s">
        <v>14</v>
      </c>
      <c r="E183" s="11" t="s">
        <v>50</v>
      </c>
      <c r="F183" s="12">
        <v>45931</v>
      </c>
      <c r="G183" s="1" t="s">
        <v>16</v>
      </c>
      <c r="H183" s="1" t="s">
        <v>19</v>
      </c>
      <c r="I183" s="2">
        <v>11</v>
      </c>
      <c r="J183" s="3">
        <v>82292</v>
      </c>
      <c r="K183" s="3">
        <v>905212</v>
      </c>
      <c r="L183" s="3">
        <v>565642</v>
      </c>
      <c r="M183" s="3">
        <v>339570</v>
      </c>
      <c r="N183" s="4">
        <v>8</v>
      </c>
    </row>
    <row r="184" spans="1:14" x14ac:dyDescent="0.25">
      <c r="A184" s="2">
        <v>1</v>
      </c>
      <c r="B184" s="1" t="s">
        <v>12</v>
      </c>
      <c r="C184" s="1" t="s">
        <v>13</v>
      </c>
      <c r="D184" s="1" t="s">
        <v>18</v>
      </c>
      <c r="E184" s="11" t="s">
        <v>50</v>
      </c>
      <c r="F184" s="12">
        <v>45931</v>
      </c>
      <c r="G184" s="1" t="s">
        <v>16</v>
      </c>
      <c r="H184" s="1" t="s">
        <v>20</v>
      </c>
      <c r="I184" s="2">
        <v>17</v>
      </c>
      <c r="J184" s="3">
        <v>66540</v>
      </c>
      <c r="K184" s="3">
        <v>1131180</v>
      </c>
      <c r="L184" s="3">
        <v>474024</v>
      </c>
      <c r="M184" s="3">
        <v>657156</v>
      </c>
      <c r="N184" s="4">
        <v>8</v>
      </c>
    </row>
    <row r="185" spans="1:14" x14ac:dyDescent="0.25">
      <c r="A185" s="2">
        <v>1</v>
      </c>
      <c r="B185" s="1" t="s">
        <v>12</v>
      </c>
      <c r="C185" s="1" t="s">
        <v>13</v>
      </c>
      <c r="D185" s="1" t="s">
        <v>14</v>
      </c>
      <c r="E185" s="11" t="s">
        <v>50</v>
      </c>
      <c r="F185" s="12">
        <v>45931</v>
      </c>
      <c r="G185" s="1" t="s">
        <v>16</v>
      </c>
      <c r="H185" s="1" t="s">
        <v>21</v>
      </c>
      <c r="I185" s="2">
        <v>3</v>
      </c>
      <c r="J185" s="3">
        <v>28702</v>
      </c>
      <c r="K185" s="3">
        <v>86106</v>
      </c>
      <c r="L185" s="3">
        <v>41504</v>
      </c>
      <c r="M185" s="3">
        <v>44602</v>
      </c>
      <c r="N185" s="4">
        <v>6</v>
      </c>
    </row>
    <row r="186" spans="1:14" x14ac:dyDescent="0.25">
      <c r="A186" s="2">
        <v>1</v>
      </c>
      <c r="B186" s="1" t="s">
        <v>12</v>
      </c>
      <c r="C186" s="1" t="s">
        <v>13</v>
      </c>
      <c r="D186" s="1" t="s">
        <v>14</v>
      </c>
      <c r="E186" s="11" t="s">
        <v>50</v>
      </c>
      <c r="F186" s="12">
        <v>45931</v>
      </c>
      <c r="G186" s="1" t="s">
        <v>22</v>
      </c>
      <c r="H186" s="1" t="s">
        <v>23</v>
      </c>
      <c r="I186" s="2">
        <v>6</v>
      </c>
      <c r="J186" s="3">
        <v>32763</v>
      </c>
      <c r="K186" s="3">
        <v>196578</v>
      </c>
      <c r="L186" s="3">
        <v>126570</v>
      </c>
      <c r="M186" s="3">
        <v>70008</v>
      </c>
      <c r="N186" s="4">
        <v>14</v>
      </c>
    </row>
    <row r="187" spans="1:14" x14ac:dyDescent="0.25">
      <c r="A187" s="2">
        <v>1</v>
      </c>
      <c r="B187" s="1" t="s">
        <v>12</v>
      </c>
      <c r="C187" s="1" t="s">
        <v>13</v>
      </c>
      <c r="D187" s="1" t="s">
        <v>18</v>
      </c>
      <c r="E187" s="11" t="s">
        <v>50</v>
      </c>
      <c r="F187" s="12">
        <v>45931</v>
      </c>
      <c r="G187" s="1" t="s">
        <v>22</v>
      </c>
      <c r="H187" s="1" t="s">
        <v>24</v>
      </c>
      <c r="I187" s="2">
        <v>5</v>
      </c>
      <c r="J187" s="3">
        <v>124293</v>
      </c>
      <c r="K187" s="3">
        <v>621465</v>
      </c>
      <c r="L187" s="3">
        <v>418836</v>
      </c>
      <c r="M187" s="3">
        <v>202629</v>
      </c>
      <c r="N187" s="4">
        <v>6</v>
      </c>
    </row>
    <row r="188" spans="1:14" x14ac:dyDescent="0.25">
      <c r="A188" s="2">
        <v>1</v>
      </c>
      <c r="B188" s="1" t="s">
        <v>12</v>
      </c>
      <c r="C188" s="1" t="s">
        <v>13</v>
      </c>
      <c r="D188" s="1" t="s">
        <v>14</v>
      </c>
      <c r="E188" s="11" t="s">
        <v>50</v>
      </c>
      <c r="F188" s="12">
        <v>45931</v>
      </c>
      <c r="G188" s="1" t="s">
        <v>22</v>
      </c>
      <c r="H188" s="1" t="s">
        <v>25</v>
      </c>
      <c r="I188" s="2">
        <v>5</v>
      </c>
      <c r="J188" s="3">
        <v>89172</v>
      </c>
      <c r="K188" s="3">
        <v>445860</v>
      </c>
      <c r="L188" s="3">
        <v>304713</v>
      </c>
      <c r="M188" s="3">
        <v>141147</v>
      </c>
      <c r="N188" s="4">
        <v>9</v>
      </c>
    </row>
    <row r="189" spans="1:14" x14ac:dyDescent="0.25">
      <c r="A189" s="2">
        <v>1</v>
      </c>
      <c r="B189" s="1" t="s">
        <v>12</v>
      </c>
      <c r="C189" s="1" t="s">
        <v>13</v>
      </c>
      <c r="D189" s="1" t="s">
        <v>18</v>
      </c>
      <c r="E189" s="11" t="s">
        <v>50</v>
      </c>
      <c r="F189" s="12">
        <v>45931</v>
      </c>
      <c r="G189" s="1" t="s">
        <v>22</v>
      </c>
      <c r="H189" s="1" t="s">
        <v>26</v>
      </c>
      <c r="I189" s="2">
        <v>19</v>
      </c>
      <c r="J189" s="3">
        <v>33456</v>
      </c>
      <c r="K189" s="3">
        <v>635664</v>
      </c>
      <c r="L189" s="3">
        <v>300240</v>
      </c>
      <c r="M189" s="3">
        <v>335424</v>
      </c>
      <c r="N189" s="4">
        <v>8</v>
      </c>
    </row>
    <row r="190" spans="1:14" x14ac:dyDescent="0.25">
      <c r="A190" s="2">
        <v>1</v>
      </c>
      <c r="B190" s="1" t="s">
        <v>12</v>
      </c>
      <c r="C190" s="1" t="s">
        <v>13</v>
      </c>
      <c r="D190" s="1" t="s">
        <v>18</v>
      </c>
      <c r="E190" s="11" t="s">
        <v>50</v>
      </c>
      <c r="F190" s="12">
        <v>45931</v>
      </c>
      <c r="G190" s="1" t="s">
        <v>27</v>
      </c>
      <c r="H190" s="1" t="s">
        <v>28</v>
      </c>
      <c r="I190" s="2">
        <v>14</v>
      </c>
      <c r="J190" s="3">
        <v>54816</v>
      </c>
      <c r="K190" s="3">
        <v>767424</v>
      </c>
      <c r="L190" s="3">
        <v>526618</v>
      </c>
      <c r="M190" s="3">
        <v>240806</v>
      </c>
      <c r="N190" s="4">
        <v>12</v>
      </c>
    </row>
    <row r="191" spans="1:14" x14ac:dyDescent="0.25">
      <c r="A191" s="2">
        <v>1</v>
      </c>
      <c r="B191" s="1" t="s">
        <v>12</v>
      </c>
      <c r="C191" s="1" t="s">
        <v>13</v>
      </c>
      <c r="D191" s="1" t="s">
        <v>14</v>
      </c>
      <c r="E191" s="11" t="s">
        <v>50</v>
      </c>
      <c r="F191" s="12">
        <v>45931</v>
      </c>
      <c r="G191" s="1" t="s">
        <v>27</v>
      </c>
      <c r="H191" s="1" t="s">
        <v>29</v>
      </c>
      <c r="I191" s="2">
        <v>4</v>
      </c>
      <c r="J191" s="3">
        <v>41949</v>
      </c>
      <c r="K191" s="3">
        <v>167796</v>
      </c>
      <c r="L191" s="3">
        <v>111326</v>
      </c>
      <c r="M191" s="3">
        <v>56470</v>
      </c>
      <c r="N191" s="4">
        <v>7</v>
      </c>
    </row>
    <row r="192" spans="1:14" x14ac:dyDescent="0.25">
      <c r="A192" s="2">
        <v>1</v>
      </c>
      <c r="B192" s="1" t="s">
        <v>12</v>
      </c>
      <c r="C192" s="1" t="s">
        <v>13</v>
      </c>
      <c r="D192" s="1" t="s">
        <v>18</v>
      </c>
      <c r="E192" s="11" t="s">
        <v>50</v>
      </c>
      <c r="F192" s="12">
        <v>45931</v>
      </c>
      <c r="G192" s="1" t="s">
        <v>27</v>
      </c>
      <c r="H192" s="1" t="s">
        <v>30</v>
      </c>
      <c r="I192" s="2">
        <v>2</v>
      </c>
      <c r="J192" s="3">
        <v>56187</v>
      </c>
      <c r="K192" s="3">
        <v>112374</v>
      </c>
      <c r="L192" s="3">
        <v>54007</v>
      </c>
      <c r="M192" s="3">
        <v>58367</v>
      </c>
      <c r="N192" s="4">
        <v>6</v>
      </c>
    </row>
    <row r="193" spans="1:14" x14ac:dyDescent="0.25">
      <c r="A193" s="2">
        <v>1</v>
      </c>
      <c r="B193" s="1" t="s">
        <v>12</v>
      </c>
      <c r="C193" s="1" t="s">
        <v>13</v>
      </c>
      <c r="D193" s="1" t="s">
        <v>14</v>
      </c>
      <c r="E193" s="11" t="s">
        <v>50</v>
      </c>
      <c r="F193" s="12">
        <v>45931</v>
      </c>
      <c r="G193" s="1" t="s">
        <v>27</v>
      </c>
      <c r="H193" s="1" t="s">
        <v>31</v>
      </c>
      <c r="I193" s="2">
        <v>2</v>
      </c>
      <c r="J193" s="3">
        <v>81877</v>
      </c>
      <c r="K193" s="3">
        <v>163754</v>
      </c>
      <c r="L193" s="3">
        <v>103442</v>
      </c>
      <c r="M193" s="3">
        <v>60312</v>
      </c>
      <c r="N193" s="4">
        <v>10</v>
      </c>
    </row>
    <row r="194" spans="1:14" x14ac:dyDescent="0.25">
      <c r="A194" s="2">
        <v>1</v>
      </c>
      <c r="B194" s="1" t="s">
        <v>12</v>
      </c>
      <c r="C194" s="1" t="s">
        <v>13</v>
      </c>
      <c r="D194" s="1" t="s">
        <v>18</v>
      </c>
      <c r="E194" s="11" t="s">
        <v>50</v>
      </c>
      <c r="F194" s="12">
        <v>45931</v>
      </c>
      <c r="G194" s="1" t="s">
        <v>32</v>
      </c>
      <c r="H194" s="1" t="s">
        <v>33</v>
      </c>
      <c r="I194" s="2">
        <v>18</v>
      </c>
      <c r="J194" s="3">
        <v>9363</v>
      </c>
      <c r="K194" s="3">
        <v>168534</v>
      </c>
      <c r="L194" s="3">
        <v>108690</v>
      </c>
      <c r="M194" s="3">
        <v>59844</v>
      </c>
      <c r="N194" s="4">
        <v>11</v>
      </c>
    </row>
    <row r="195" spans="1:14" x14ac:dyDescent="0.25">
      <c r="A195" s="2">
        <v>1</v>
      </c>
      <c r="B195" s="1" t="s">
        <v>12</v>
      </c>
      <c r="C195" s="1" t="s">
        <v>13</v>
      </c>
      <c r="D195" s="1" t="s">
        <v>14</v>
      </c>
      <c r="E195" s="11" t="s">
        <v>50</v>
      </c>
      <c r="F195" s="12">
        <v>45931</v>
      </c>
      <c r="G195" s="1" t="s">
        <v>32</v>
      </c>
      <c r="H195" s="1" t="s">
        <v>34</v>
      </c>
      <c r="I195" s="2">
        <v>5</v>
      </c>
      <c r="J195" s="3">
        <v>16229</v>
      </c>
      <c r="K195" s="3">
        <v>81145</v>
      </c>
      <c r="L195" s="3">
        <v>53798</v>
      </c>
      <c r="M195" s="3">
        <v>27347</v>
      </c>
      <c r="N195" s="4">
        <v>8</v>
      </c>
    </row>
    <row r="196" spans="1:14" x14ac:dyDescent="0.25">
      <c r="A196" s="2">
        <v>1</v>
      </c>
      <c r="B196" s="1" t="s">
        <v>12</v>
      </c>
      <c r="C196" s="1" t="s">
        <v>13</v>
      </c>
      <c r="D196" s="1" t="s">
        <v>18</v>
      </c>
      <c r="E196" s="11" t="s">
        <v>50</v>
      </c>
      <c r="F196" s="12">
        <v>45931</v>
      </c>
      <c r="G196" s="1" t="s">
        <v>32</v>
      </c>
      <c r="H196" s="1" t="s">
        <v>35</v>
      </c>
      <c r="I196" s="2">
        <v>17</v>
      </c>
      <c r="J196" s="3">
        <v>9719</v>
      </c>
      <c r="K196" s="3">
        <v>165223</v>
      </c>
      <c r="L196" s="3">
        <v>89883</v>
      </c>
      <c r="M196" s="3">
        <v>75340</v>
      </c>
      <c r="N196" s="4">
        <v>6</v>
      </c>
    </row>
    <row r="197" spans="1:14" x14ac:dyDescent="0.25">
      <c r="A197" s="2">
        <v>1</v>
      </c>
      <c r="B197" s="1" t="s">
        <v>12</v>
      </c>
      <c r="C197" s="1" t="s">
        <v>13</v>
      </c>
      <c r="D197" s="1" t="s">
        <v>18</v>
      </c>
      <c r="E197" s="11" t="s">
        <v>50</v>
      </c>
      <c r="F197" s="12">
        <v>45931</v>
      </c>
      <c r="G197" s="1" t="s">
        <v>32</v>
      </c>
      <c r="H197" s="1" t="s">
        <v>36</v>
      </c>
      <c r="I197" s="2">
        <v>15</v>
      </c>
      <c r="J197" s="3">
        <v>6252</v>
      </c>
      <c r="K197" s="3">
        <v>93780</v>
      </c>
      <c r="L197" s="3">
        <v>54963</v>
      </c>
      <c r="M197" s="3">
        <v>38817</v>
      </c>
      <c r="N197" s="4">
        <v>1</v>
      </c>
    </row>
    <row r="198" spans="1:14" x14ac:dyDescent="0.25">
      <c r="A198" s="2">
        <v>1</v>
      </c>
      <c r="B198" s="1" t="s">
        <v>12</v>
      </c>
      <c r="C198" s="1" t="s">
        <v>13</v>
      </c>
      <c r="D198" s="1" t="s">
        <v>14</v>
      </c>
      <c r="E198" s="11" t="s">
        <v>50</v>
      </c>
      <c r="F198" s="12">
        <v>45931</v>
      </c>
      <c r="G198" s="1" t="s">
        <v>37</v>
      </c>
      <c r="H198" s="1" t="s">
        <v>38</v>
      </c>
      <c r="I198" s="2">
        <v>11</v>
      </c>
      <c r="J198" s="3">
        <v>73682</v>
      </c>
      <c r="K198" s="3">
        <v>810502</v>
      </c>
      <c r="L198" s="3">
        <v>543802</v>
      </c>
      <c r="M198" s="3">
        <v>266700</v>
      </c>
      <c r="N198" s="4">
        <v>11</v>
      </c>
    </row>
    <row r="199" spans="1:14" x14ac:dyDescent="0.25">
      <c r="A199" s="2">
        <v>1</v>
      </c>
      <c r="B199" s="1" t="s">
        <v>12</v>
      </c>
      <c r="C199" s="1" t="s">
        <v>13</v>
      </c>
      <c r="D199" s="1" t="s">
        <v>14</v>
      </c>
      <c r="E199" s="11" t="s">
        <v>50</v>
      </c>
      <c r="F199" s="12">
        <v>45931</v>
      </c>
      <c r="G199" s="1" t="s">
        <v>37</v>
      </c>
      <c r="H199" s="1" t="s">
        <v>39</v>
      </c>
      <c r="I199" s="2">
        <v>2</v>
      </c>
      <c r="J199" s="3">
        <v>26949</v>
      </c>
      <c r="K199" s="3">
        <v>53898</v>
      </c>
      <c r="L199" s="3">
        <v>31391</v>
      </c>
      <c r="M199" s="3">
        <v>22507</v>
      </c>
      <c r="N199" s="4">
        <v>1</v>
      </c>
    </row>
    <row r="200" spans="1:14" x14ac:dyDescent="0.25">
      <c r="A200" s="2">
        <v>1</v>
      </c>
      <c r="B200" s="1" t="s">
        <v>12</v>
      </c>
      <c r="C200" s="1" t="s">
        <v>13</v>
      </c>
      <c r="D200" s="1" t="s">
        <v>14</v>
      </c>
      <c r="E200" s="11" t="s">
        <v>50</v>
      </c>
      <c r="F200" s="12">
        <v>45931</v>
      </c>
      <c r="G200" s="1" t="s">
        <v>37</v>
      </c>
      <c r="H200" s="1" t="s">
        <v>40</v>
      </c>
      <c r="I200" s="2">
        <v>15</v>
      </c>
      <c r="J200" s="3">
        <v>43386</v>
      </c>
      <c r="K200" s="3">
        <v>650790</v>
      </c>
      <c r="L200" s="3">
        <v>278082</v>
      </c>
      <c r="M200" s="3">
        <v>372708</v>
      </c>
      <c r="N200" s="4">
        <v>1</v>
      </c>
    </row>
    <row r="201" spans="1:14" x14ac:dyDescent="0.25">
      <c r="A201" s="2">
        <v>1</v>
      </c>
      <c r="B201" s="1" t="s">
        <v>12</v>
      </c>
      <c r="C201" s="1" t="s">
        <v>13</v>
      </c>
      <c r="D201" s="1" t="s">
        <v>18</v>
      </c>
      <c r="E201" s="11" t="s">
        <v>50</v>
      </c>
      <c r="F201" s="12">
        <v>45931</v>
      </c>
      <c r="G201" s="1" t="s">
        <v>37</v>
      </c>
      <c r="H201" s="1" t="s">
        <v>41</v>
      </c>
      <c r="I201" s="2">
        <v>6</v>
      </c>
      <c r="J201" s="3">
        <v>76800</v>
      </c>
      <c r="K201" s="3">
        <v>460800</v>
      </c>
      <c r="L201" s="3">
        <v>292652</v>
      </c>
      <c r="M201" s="3">
        <v>168148</v>
      </c>
      <c r="N201" s="4">
        <v>11</v>
      </c>
    </row>
    <row r="202" spans="1:14" x14ac:dyDescent="0.25">
      <c r="A202" s="2">
        <v>1</v>
      </c>
      <c r="B202" s="1" t="s">
        <v>12</v>
      </c>
      <c r="C202" s="1" t="s">
        <v>13</v>
      </c>
      <c r="D202" s="1" t="s">
        <v>18</v>
      </c>
      <c r="E202" s="11" t="s">
        <v>51</v>
      </c>
      <c r="F202" s="12">
        <v>45962</v>
      </c>
      <c r="G202" s="1" t="s">
        <v>16</v>
      </c>
      <c r="H202" s="1" t="s">
        <v>17</v>
      </c>
      <c r="I202" s="2">
        <v>10</v>
      </c>
      <c r="J202" s="3">
        <v>142418</v>
      </c>
      <c r="K202" s="3">
        <v>1424180</v>
      </c>
      <c r="L202" s="3">
        <v>867742</v>
      </c>
      <c r="M202" s="3">
        <v>556438</v>
      </c>
      <c r="N202" s="4">
        <v>12</v>
      </c>
    </row>
    <row r="203" spans="1:14" x14ac:dyDescent="0.25">
      <c r="A203" s="2">
        <v>1</v>
      </c>
      <c r="B203" s="1" t="s">
        <v>12</v>
      </c>
      <c r="C203" s="1" t="s">
        <v>13</v>
      </c>
      <c r="D203" s="1" t="s">
        <v>18</v>
      </c>
      <c r="E203" s="11" t="s">
        <v>51</v>
      </c>
      <c r="F203" s="12">
        <v>45962</v>
      </c>
      <c r="G203" s="1" t="s">
        <v>16</v>
      </c>
      <c r="H203" s="1" t="s">
        <v>19</v>
      </c>
      <c r="I203" s="2">
        <v>4</v>
      </c>
      <c r="J203" s="3">
        <v>134825</v>
      </c>
      <c r="K203" s="3">
        <v>539300</v>
      </c>
      <c r="L203" s="3">
        <v>365632</v>
      </c>
      <c r="M203" s="3">
        <v>173668</v>
      </c>
      <c r="N203" s="4">
        <v>9</v>
      </c>
    </row>
    <row r="204" spans="1:14" x14ac:dyDescent="0.25">
      <c r="A204" s="2">
        <v>1</v>
      </c>
      <c r="B204" s="1" t="s">
        <v>12</v>
      </c>
      <c r="C204" s="1" t="s">
        <v>13</v>
      </c>
      <c r="D204" s="1" t="s">
        <v>18</v>
      </c>
      <c r="E204" s="11" t="s">
        <v>51</v>
      </c>
      <c r="F204" s="12">
        <v>45962</v>
      </c>
      <c r="G204" s="1" t="s">
        <v>16</v>
      </c>
      <c r="H204" s="1" t="s">
        <v>20</v>
      </c>
      <c r="I204" s="2">
        <v>17</v>
      </c>
      <c r="J204" s="3">
        <v>39963</v>
      </c>
      <c r="K204" s="3">
        <v>679371</v>
      </c>
      <c r="L204" s="3">
        <v>285248</v>
      </c>
      <c r="M204" s="3">
        <v>394123</v>
      </c>
      <c r="N204" s="4">
        <v>4</v>
      </c>
    </row>
    <row r="205" spans="1:14" x14ac:dyDescent="0.25">
      <c r="A205" s="2">
        <v>1</v>
      </c>
      <c r="B205" s="1" t="s">
        <v>12</v>
      </c>
      <c r="C205" s="1" t="s">
        <v>13</v>
      </c>
      <c r="D205" s="1" t="s">
        <v>18</v>
      </c>
      <c r="E205" s="11" t="s">
        <v>51</v>
      </c>
      <c r="F205" s="12">
        <v>45962</v>
      </c>
      <c r="G205" s="1" t="s">
        <v>16</v>
      </c>
      <c r="H205" s="1" t="s">
        <v>21</v>
      </c>
      <c r="I205" s="2">
        <v>2</v>
      </c>
      <c r="J205" s="3">
        <v>93477</v>
      </c>
      <c r="K205" s="3">
        <v>186954</v>
      </c>
      <c r="L205" s="3">
        <v>102410</v>
      </c>
      <c r="M205" s="3">
        <v>84544</v>
      </c>
      <c r="N205" s="4">
        <v>12</v>
      </c>
    </row>
    <row r="206" spans="1:14" x14ac:dyDescent="0.25">
      <c r="A206" s="2">
        <v>1</v>
      </c>
      <c r="B206" s="1" t="s">
        <v>12</v>
      </c>
      <c r="C206" s="1" t="s">
        <v>13</v>
      </c>
      <c r="D206" s="1" t="s">
        <v>18</v>
      </c>
      <c r="E206" s="11" t="s">
        <v>51</v>
      </c>
      <c r="F206" s="12">
        <v>45962</v>
      </c>
      <c r="G206" s="1" t="s">
        <v>22</v>
      </c>
      <c r="H206" s="1" t="s">
        <v>23</v>
      </c>
      <c r="I206" s="2">
        <v>11</v>
      </c>
      <c r="J206" s="3">
        <v>147018</v>
      </c>
      <c r="K206" s="3">
        <v>1617198</v>
      </c>
      <c r="L206" s="3">
        <v>763388</v>
      </c>
      <c r="M206" s="3">
        <v>853810</v>
      </c>
      <c r="N206" s="4">
        <v>2</v>
      </c>
    </row>
    <row r="207" spans="1:14" x14ac:dyDescent="0.25">
      <c r="A207" s="2">
        <v>1</v>
      </c>
      <c r="B207" s="1" t="s">
        <v>12</v>
      </c>
      <c r="C207" s="1" t="s">
        <v>13</v>
      </c>
      <c r="D207" s="1" t="s">
        <v>18</v>
      </c>
      <c r="E207" s="11" t="s">
        <v>51</v>
      </c>
      <c r="F207" s="12">
        <v>45962</v>
      </c>
      <c r="G207" s="1" t="s">
        <v>22</v>
      </c>
      <c r="H207" s="1" t="s">
        <v>24</v>
      </c>
      <c r="I207" s="2">
        <v>15</v>
      </c>
      <c r="J207" s="3">
        <v>37144</v>
      </c>
      <c r="K207" s="3">
        <v>557160</v>
      </c>
      <c r="L207" s="3">
        <v>299771</v>
      </c>
      <c r="M207" s="3">
        <v>257389</v>
      </c>
      <c r="N207" s="4">
        <v>14</v>
      </c>
    </row>
    <row r="208" spans="1:14" x14ac:dyDescent="0.25">
      <c r="A208" s="2">
        <v>1</v>
      </c>
      <c r="B208" s="1" t="s">
        <v>12</v>
      </c>
      <c r="C208" s="1" t="s">
        <v>13</v>
      </c>
      <c r="D208" s="1" t="s">
        <v>14</v>
      </c>
      <c r="E208" s="11" t="s">
        <v>51</v>
      </c>
      <c r="F208" s="12">
        <v>45962</v>
      </c>
      <c r="G208" s="1" t="s">
        <v>22</v>
      </c>
      <c r="H208" s="1" t="s">
        <v>25</v>
      </c>
      <c r="I208" s="2">
        <v>11</v>
      </c>
      <c r="J208" s="3">
        <v>31637</v>
      </c>
      <c r="K208" s="3">
        <v>348007</v>
      </c>
      <c r="L208" s="3">
        <v>212040</v>
      </c>
      <c r="M208" s="3">
        <v>135967</v>
      </c>
      <c r="N208" s="4">
        <v>3</v>
      </c>
    </row>
    <row r="209" spans="1:14" x14ac:dyDescent="0.25">
      <c r="A209" s="2">
        <v>1</v>
      </c>
      <c r="B209" s="1" t="s">
        <v>12</v>
      </c>
      <c r="C209" s="1" t="s">
        <v>13</v>
      </c>
      <c r="D209" s="1" t="s">
        <v>14</v>
      </c>
      <c r="E209" s="11" t="s">
        <v>51</v>
      </c>
      <c r="F209" s="12">
        <v>45962</v>
      </c>
      <c r="G209" s="1" t="s">
        <v>22</v>
      </c>
      <c r="H209" s="1" t="s">
        <v>26</v>
      </c>
      <c r="I209" s="2">
        <v>8</v>
      </c>
      <c r="J209" s="3">
        <v>145827</v>
      </c>
      <c r="K209" s="3">
        <v>1166616</v>
      </c>
      <c r="L209" s="3">
        <v>587624</v>
      </c>
      <c r="M209" s="3">
        <v>578992</v>
      </c>
      <c r="N209" s="4">
        <v>2</v>
      </c>
    </row>
    <row r="210" spans="1:14" x14ac:dyDescent="0.25">
      <c r="A210" s="2">
        <v>1</v>
      </c>
      <c r="B210" s="1" t="s">
        <v>12</v>
      </c>
      <c r="C210" s="1" t="s">
        <v>13</v>
      </c>
      <c r="D210" s="1" t="s">
        <v>14</v>
      </c>
      <c r="E210" s="11" t="s">
        <v>51</v>
      </c>
      <c r="F210" s="12">
        <v>45962</v>
      </c>
      <c r="G210" s="1" t="s">
        <v>27</v>
      </c>
      <c r="H210" s="1" t="s">
        <v>28</v>
      </c>
      <c r="I210" s="2">
        <v>3</v>
      </c>
      <c r="J210" s="3">
        <v>53434</v>
      </c>
      <c r="K210" s="3">
        <v>160302</v>
      </c>
      <c r="L210" s="3">
        <v>96224</v>
      </c>
      <c r="M210" s="3">
        <v>64078</v>
      </c>
      <c r="N210" s="4">
        <v>1</v>
      </c>
    </row>
    <row r="211" spans="1:14" x14ac:dyDescent="0.25">
      <c r="A211" s="2">
        <v>1</v>
      </c>
      <c r="B211" s="1" t="s">
        <v>12</v>
      </c>
      <c r="C211" s="1" t="s">
        <v>13</v>
      </c>
      <c r="D211" s="1" t="s">
        <v>18</v>
      </c>
      <c r="E211" s="11" t="s">
        <v>51</v>
      </c>
      <c r="F211" s="12">
        <v>45962</v>
      </c>
      <c r="G211" s="1" t="s">
        <v>27</v>
      </c>
      <c r="H211" s="1" t="s">
        <v>29</v>
      </c>
      <c r="I211" s="2">
        <v>19</v>
      </c>
      <c r="J211" s="3">
        <v>43954</v>
      </c>
      <c r="K211" s="3">
        <v>835126</v>
      </c>
      <c r="L211" s="3">
        <v>539940</v>
      </c>
      <c r="M211" s="3">
        <v>295186</v>
      </c>
      <c r="N211" s="4">
        <v>1</v>
      </c>
    </row>
    <row r="212" spans="1:14" x14ac:dyDescent="0.25">
      <c r="A212" s="2">
        <v>1</v>
      </c>
      <c r="B212" s="1" t="s">
        <v>12</v>
      </c>
      <c r="C212" s="1" t="s">
        <v>13</v>
      </c>
      <c r="D212" s="1" t="s">
        <v>18</v>
      </c>
      <c r="E212" s="11" t="s">
        <v>51</v>
      </c>
      <c r="F212" s="12">
        <v>45962</v>
      </c>
      <c r="G212" s="1" t="s">
        <v>27</v>
      </c>
      <c r="H212" s="1" t="s">
        <v>30</v>
      </c>
      <c r="I212" s="2">
        <v>10</v>
      </c>
      <c r="J212" s="3">
        <v>56668</v>
      </c>
      <c r="K212" s="3">
        <v>566680</v>
      </c>
      <c r="L212" s="3">
        <v>232078</v>
      </c>
      <c r="M212" s="3">
        <v>334602</v>
      </c>
      <c r="N212" s="4">
        <v>5</v>
      </c>
    </row>
    <row r="213" spans="1:14" x14ac:dyDescent="0.25">
      <c r="A213" s="2">
        <v>1</v>
      </c>
      <c r="B213" s="1" t="s">
        <v>12</v>
      </c>
      <c r="C213" s="1" t="s">
        <v>13</v>
      </c>
      <c r="D213" s="1" t="s">
        <v>18</v>
      </c>
      <c r="E213" s="11" t="s">
        <v>51</v>
      </c>
      <c r="F213" s="12">
        <v>45962</v>
      </c>
      <c r="G213" s="1" t="s">
        <v>27</v>
      </c>
      <c r="H213" s="1" t="s">
        <v>31</v>
      </c>
      <c r="I213" s="2">
        <v>1</v>
      </c>
      <c r="J213" s="3">
        <v>149668</v>
      </c>
      <c r="K213" s="3">
        <v>149668</v>
      </c>
      <c r="L213" s="3">
        <v>80556</v>
      </c>
      <c r="M213" s="3">
        <v>69112</v>
      </c>
      <c r="N213" s="4">
        <v>9</v>
      </c>
    </row>
    <row r="214" spans="1:14" x14ac:dyDescent="0.25">
      <c r="A214" s="2">
        <v>1</v>
      </c>
      <c r="B214" s="1" t="s">
        <v>12</v>
      </c>
      <c r="C214" s="1" t="s">
        <v>13</v>
      </c>
      <c r="D214" s="1" t="s">
        <v>18</v>
      </c>
      <c r="E214" s="11" t="s">
        <v>51</v>
      </c>
      <c r="F214" s="12">
        <v>45962</v>
      </c>
      <c r="G214" s="1" t="s">
        <v>32</v>
      </c>
      <c r="H214" s="1" t="s">
        <v>33</v>
      </c>
      <c r="I214" s="2">
        <v>14</v>
      </c>
      <c r="J214" s="3">
        <v>7593</v>
      </c>
      <c r="K214" s="3">
        <v>106302</v>
      </c>
      <c r="L214" s="3">
        <v>46626</v>
      </c>
      <c r="M214" s="3">
        <v>59676</v>
      </c>
      <c r="N214" s="4">
        <v>9</v>
      </c>
    </row>
    <row r="215" spans="1:14" x14ac:dyDescent="0.25">
      <c r="A215" s="2">
        <v>1</v>
      </c>
      <c r="B215" s="1" t="s">
        <v>12</v>
      </c>
      <c r="C215" s="1" t="s">
        <v>13</v>
      </c>
      <c r="D215" s="1" t="s">
        <v>18</v>
      </c>
      <c r="E215" s="11" t="s">
        <v>51</v>
      </c>
      <c r="F215" s="12">
        <v>45962</v>
      </c>
      <c r="G215" s="1" t="s">
        <v>32</v>
      </c>
      <c r="H215" s="1" t="s">
        <v>34</v>
      </c>
      <c r="I215" s="2">
        <v>13</v>
      </c>
      <c r="J215" s="3">
        <v>12240</v>
      </c>
      <c r="K215" s="3">
        <v>159120</v>
      </c>
      <c r="L215" s="3">
        <v>68053</v>
      </c>
      <c r="M215" s="3">
        <v>91067</v>
      </c>
      <c r="N215" s="4">
        <v>14</v>
      </c>
    </row>
    <row r="216" spans="1:14" x14ac:dyDescent="0.25">
      <c r="A216" s="2">
        <v>1</v>
      </c>
      <c r="B216" s="1" t="s">
        <v>12</v>
      </c>
      <c r="C216" s="1" t="s">
        <v>13</v>
      </c>
      <c r="D216" s="1" t="s">
        <v>18</v>
      </c>
      <c r="E216" s="11" t="s">
        <v>51</v>
      </c>
      <c r="F216" s="12">
        <v>45962</v>
      </c>
      <c r="G216" s="1" t="s">
        <v>32</v>
      </c>
      <c r="H216" s="1" t="s">
        <v>35</v>
      </c>
      <c r="I216" s="2">
        <v>15</v>
      </c>
      <c r="J216" s="3">
        <v>18367</v>
      </c>
      <c r="K216" s="3">
        <v>275505</v>
      </c>
      <c r="L216" s="3">
        <v>182404</v>
      </c>
      <c r="M216" s="3">
        <v>93101</v>
      </c>
      <c r="N216" s="4">
        <v>14</v>
      </c>
    </row>
    <row r="217" spans="1:14" x14ac:dyDescent="0.25">
      <c r="A217" s="2">
        <v>1</v>
      </c>
      <c r="B217" s="1" t="s">
        <v>12</v>
      </c>
      <c r="C217" s="1" t="s">
        <v>13</v>
      </c>
      <c r="D217" s="1" t="s">
        <v>18</v>
      </c>
      <c r="E217" s="11" t="s">
        <v>51</v>
      </c>
      <c r="F217" s="12">
        <v>45962</v>
      </c>
      <c r="G217" s="1" t="s">
        <v>32</v>
      </c>
      <c r="H217" s="1" t="s">
        <v>36</v>
      </c>
      <c r="I217" s="2">
        <v>16</v>
      </c>
      <c r="J217" s="3">
        <v>8644</v>
      </c>
      <c r="K217" s="3">
        <v>138304</v>
      </c>
      <c r="L217" s="3">
        <v>55429</v>
      </c>
      <c r="M217" s="3">
        <v>82875</v>
      </c>
      <c r="N217" s="4">
        <v>3</v>
      </c>
    </row>
    <row r="218" spans="1:14" x14ac:dyDescent="0.25">
      <c r="A218" s="2">
        <v>1</v>
      </c>
      <c r="B218" s="1" t="s">
        <v>12</v>
      </c>
      <c r="C218" s="1" t="s">
        <v>13</v>
      </c>
      <c r="D218" s="1" t="s">
        <v>14</v>
      </c>
      <c r="E218" s="11" t="s">
        <v>51</v>
      </c>
      <c r="F218" s="12">
        <v>45962</v>
      </c>
      <c r="G218" s="1" t="s">
        <v>37</v>
      </c>
      <c r="H218" s="1" t="s">
        <v>38</v>
      </c>
      <c r="I218" s="2">
        <v>1</v>
      </c>
      <c r="J218" s="3">
        <v>79399</v>
      </c>
      <c r="K218" s="3">
        <v>79399</v>
      </c>
      <c r="L218" s="3">
        <v>49582</v>
      </c>
      <c r="M218" s="3">
        <v>29817</v>
      </c>
      <c r="N218" s="4">
        <v>12</v>
      </c>
    </row>
    <row r="219" spans="1:14" x14ac:dyDescent="0.25">
      <c r="A219" s="2">
        <v>1</v>
      </c>
      <c r="B219" s="1" t="s">
        <v>12</v>
      </c>
      <c r="C219" s="1" t="s">
        <v>13</v>
      </c>
      <c r="D219" s="1" t="s">
        <v>14</v>
      </c>
      <c r="E219" s="11" t="s">
        <v>51</v>
      </c>
      <c r="F219" s="12">
        <v>45962</v>
      </c>
      <c r="G219" s="1" t="s">
        <v>37</v>
      </c>
      <c r="H219" s="1" t="s">
        <v>39</v>
      </c>
      <c r="I219" s="2">
        <v>15</v>
      </c>
      <c r="J219" s="3">
        <v>20302</v>
      </c>
      <c r="K219" s="3">
        <v>304530</v>
      </c>
      <c r="L219" s="3">
        <v>155657</v>
      </c>
      <c r="M219" s="3">
        <v>148873</v>
      </c>
      <c r="N219" s="4">
        <v>5</v>
      </c>
    </row>
    <row r="220" spans="1:14" x14ac:dyDescent="0.25">
      <c r="A220" s="2">
        <v>1</v>
      </c>
      <c r="B220" s="1" t="s">
        <v>12</v>
      </c>
      <c r="C220" s="1" t="s">
        <v>13</v>
      </c>
      <c r="D220" s="1" t="s">
        <v>14</v>
      </c>
      <c r="E220" s="11" t="s">
        <v>51</v>
      </c>
      <c r="F220" s="12">
        <v>45962</v>
      </c>
      <c r="G220" s="1" t="s">
        <v>37</v>
      </c>
      <c r="H220" s="1" t="s">
        <v>40</v>
      </c>
      <c r="I220" s="2">
        <v>14</v>
      </c>
      <c r="J220" s="3">
        <v>147449</v>
      </c>
      <c r="K220" s="3">
        <v>2064286</v>
      </c>
      <c r="L220" s="3">
        <v>1296343</v>
      </c>
      <c r="M220" s="3">
        <v>767943</v>
      </c>
      <c r="N220" s="4">
        <v>13</v>
      </c>
    </row>
    <row r="221" spans="1:14" x14ac:dyDescent="0.25">
      <c r="A221" s="2">
        <v>1</v>
      </c>
      <c r="B221" s="1" t="s">
        <v>12</v>
      </c>
      <c r="C221" s="1" t="s">
        <v>13</v>
      </c>
      <c r="D221" s="1" t="s">
        <v>14</v>
      </c>
      <c r="E221" s="11" t="s">
        <v>51</v>
      </c>
      <c r="F221" s="12">
        <v>45962</v>
      </c>
      <c r="G221" s="1" t="s">
        <v>37</v>
      </c>
      <c r="H221" s="1" t="s">
        <v>41</v>
      </c>
      <c r="I221" s="2">
        <v>2</v>
      </c>
      <c r="J221" s="3">
        <v>36748</v>
      </c>
      <c r="K221" s="3">
        <v>73496</v>
      </c>
      <c r="L221" s="3">
        <v>30772</v>
      </c>
      <c r="M221" s="3">
        <v>42724</v>
      </c>
      <c r="N221" s="4">
        <v>10</v>
      </c>
    </row>
    <row r="222" spans="1:14" x14ac:dyDescent="0.25">
      <c r="A222" s="2">
        <v>1</v>
      </c>
      <c r="B222" s="1" t="s">
        <v>12</v>
      </c>
      <c r="C222" s="1" t="s">
        <v>13</v>
      </c>
      <c r="D222" s="1" t="s">
        <v>18</v>
      </c>
      <c r="E222" s="11" t="s">
        <v>52</v>
      </c>
      <c r="F222" s="12">
        <v>45992</v>
      </c>
      <c r="G222" s="1" t="s">
        <v>16</v>
      </c>
      <c r="H222" s="1" t="s">
        <v>17</v>
      </c>
      <c r="I222" s="2">
        <v>19</v>
      </c>
      <c r="J222" s="3">
        <v>25126</v>
      </c>
      <c r="K222" s="3">
        <v>477394</v>
      </c>
      <c r="L222" s="3">
        <v>289372</v>
      </c>
      <c r="M222" s="3">
        <v>188022</v>
      </c>
      <c r="N222" s="4">
        <v>6</v>
      </c>
    </row>
    <row r="223" spans="1:14" x14ac:dyDescent="0.25">
      <c r="A223" s="2">
        <v>1</v>
      </c>
      <c r="B223" s="1" t="s">
        <v>12</v>
      </c>
      <c r="C223" s="1" t="s">
        <v>13</v>
      </c>
      <c r="D223" s="1" t="s">
        <v>18</v>
      </c>
      <c r="E223" s="11" t="s">
        <v>52</v>
      </c>
      <c r="F223" s="12">
        <v>45992</v>
      </c>
      <c r="G223" s="1" t="s">
        <v>16</v>
      </c>
      <c r="H223" s="1" t="s">
        <v>19</v>
      </c>
      <c r="I223" s="2">
        <v>14</v>
      </c>
      <c r="J223" s="3">
        <v>75658</v>
      </c>
      <c r="K223" s="3">
        <v>1059212</v>
      </c>
      <c r="L223" s="3">
        <v>592771</v>
      </c>
      <c r="M223" s="3">
        <v>466441</v>
      </c>
      <c r="N223" s="4">
        <v>12</v>
      </c>
    </row>
    <row r="224" spans="1:14" x14ac:dyDescent="0.25">
      <c r="A224" s="2">
        <v>1</v>
      </c>
      <c r="B224" s="1" t="s">
        <v>12</v>
      </c>
      <c r="C224" s="1" t="s">
        <v>13</v>
      </c>
      <c r="D224" s="1" t="s">
        <v>14</v>
      </c>
      <c r="E224" s="11" t="s">
        <v>52</v>
      </c>
      <c r="F224" s="12">
        <v>45992</v>
      </c>
      <c r="G224" s="1" t="s">
        <v>16</v>
      </c>
      <c r="H224" s="1" t="s">
        <v>20</v>
      </c>
      <c r="I224" s="2">
        <v>18</v>
      </c>
      <c r="J224" s="3">
        <v>125977</v>
      </c>
      <c r="K224" s="3">
        <v>2267586</v>
      </c>
      <c r="L224" s="3">
        <v>1147951</v>
      </c>
      <c r="M224" s="3">
        <v>1119635</v>
      </c>
      <c r="N224" s="4">
        <v>2</v>
      </c>
    </row>
    <row r="225" spans="1:14" x14ac:dyDescent="0.25">
      <c r="A225" s="2">
        <v>1</v>
      </c>
      <c r="B225" s="1" t="s">
        <v>12</v>
      </c>
      <c r="C225" s="1" t="s">
        <v>13</v>
      </c>
      <c r="D225" s="1" t="s">
        <v>14</v>
      </c>
      <c r="E225" s="11" t="s">
        <v>52</v>
      </c>
      <c r="F225" s="12">
        <v>45992</v>
      </c>
      <c r="G225" s="1" t="s">
        <v>16</v>
      </c>
      <c r="H225" s="1" t="s">
        <v>21</v>
      </c>
      <c r="I225" s="2">
        <v>15</v>
      </c>
      <c r="J225" s="3">
        <v>66271</v>
      </c>
      <c r="K225" s="3">
        <v>994065</v>
      </c>
      <c r="L225" s="3">
        <v>477919</v>
      </c>
      <c r="M225" s="3">
        <v>516146</v>
      </c>
      <c r="N225" s="4">
        <v>4</v>
      </c>
    </row>
    <row r="226" spans="1:14" x14ac:dyDescent="0.25">
      <c r="A226" s="2">
        <v>1</v>
      </c>
      <c r="B226" s="1" t="s">
        <v>12</v>
      </c>
      <c r="C226" s="1" t="s">
        <v>13</v>
      </c>
      <c r="D226" s="1" t="s">
        <v>18</v>
      </c>
      <c r="E226" s="11" t="s">
        <v>52</v>
      </c>
      <c r="F226" s="12">
        <v>45992</v>
      </c>
      <c r="G226" s="1" t="s">
        <v>22</v>
      </c>
      <c r="H226" s="1" t="s">
        <v>23</v>
      </c>
      <c r="I226" s="2">
        <v>10</v>
      </c>
      <c r="J226" s="3">
        <v>21062</v>
      </c>
      <c r="K226" s="3">
        <v>210620</v>
      </c>
      <c r="L226" s="3">
        <v>104598</v>
      </c>
      <c r="M226" s="3">
        <v>106022</v>
      </c>
      <c r="N226" s="4">
        <v>6</v>
      </c>
    </row>
    <row r="227" spans="1:14" x14ac:dyDescent="0.25">
      <c r="A227" s="2">
        <v>1</v>
      </c>
      <c r="B227" s="1" t="s">
        <v>12</v>
      </c>
      <c r="C227" s="1" t="s">
        <v>13</v>
      </c>
      <c r="D227" s="1" t="s">
        <v>14</v>
      </c>
      <c r="E227" s="11" t="s">
        <v>52</v>
      </c>
      <c r="F227" s="12">
        <v>45992</v>
      </c>
      <c r="G227" s="1" t="s">
        <v>22</v>
      </c>
      <c r="H227" s="1" t="s">
        <v>24</v>
      </c>
      <c r="I227" s="2">
        <v>12</v>
      </c>
      <c r="J227" s="3">
        <v>24632</v>
      </c>
      <c r="K227" s="3">
        <v>295584</v>
      </c>
      <c r="L227" s="3">
        <v>197201</v>
      </c>
      <c r="M227" s="3">
        <v>98383</v>
      </c>
      <c r="N227" s="4">
        <v>3</v>
      </c>
    </row>
    <row r="228" spans="1:14" x14ac:dyDescent="0.25">
      <c r="A228" s="2">
        <v>1</v>
      </c>
      <c r="B228" s="1" t="s">
        <v>12</v>
      </c>
      <c r="C228" s="1" t="s">
        <v>13</v>
      </c>
      <c r="D228" s="1" t="s">
        <v>14</v>
      </c>
      <c r="E228" s="11" t="s">
        <v>52</v>
      </c>
      <c r="F228" s="12">
        <v>45992</v>
      </c>
      <c r="G228" s="1" t="s">
        <v>22</v>
      </c>
      <c r="H228" s="1" t="s">
        <v>25</v>
      </c>
      <c r="I228" s="2">
        <v>4</v>
      </c>
      <c r="J228" s="3">
        <v>27561</v>
      </c>
      <c r="K228" s="3">
        <v>110244</v>
      </c>
      <c r="L228" s="3">
        <v>70198</v>
      </c>
      <c r="M228" s="3">
        <v>40046</v>
      </c>
      <c r="N228" s="4">
        <v>12</v>
      </c>
    </row>
    <row r="229" spans="1:14" x14ac:dyDescent="0.25">
      <c r="A229" s="2">
        <v>1</v>
      </c>
      <c r="B229" s="1" t="s">
        <v>12</v>
      </c>
      <c r="C229" s="1" t="s">
        <v>13</v>
      </c>
      <c r="D229" s="1" t="s">
        <v>14</v>
      </c>
      <c r="E229" s="11" t="s">
        <v>52</v>
      </c>
      <c r="F229" s="12">
        <v>45992</v>
      </c>
      <c r="G229" s="1" t="s">
        <v>22</v>
      </c>
      <c r="H229" s="1" t="s">
        <v>26</v>
      </c>
      <c r="I229" s="2">
        <v>18</v>
      </c>
      <c r="J229" s="3">
        <v>46734</v>
      </c>
      <c r="K229" s="3">
        <v>841212</v>
      </c>
      <c r="L229" s="3">
        <v>483915</v>
      </c>
      <c r="M229" s="3">
        <v>357297</v>
      </c>
      <c r="N229" s="4">
        <v>5</v>
      </c>
    </row>
    <row r="230" spans="1:14" x14ac:dyDescent="0.25">
      <c r="A230" s="2">
        <v>1</v>
      </c>
      <c r="B230" s="1" t="s">
        <v>12</v>
      </c>
      <c r="C230" s="1" t="s">
        <v>13</v>
      </c>
      <c r="D230" s="1" t="s">
        <v>14</v>
      </c>
      <c r="E230" s="11" t="s">
        <v>52</v>
      </c>
      <c r="F230" s="12">
        <v>45992</v>
      </c>
      <c r="G230" s="1" t="s">
        <v>27</v>
      </c>
      <c r="H230" s="1" t="s">
        <v>28</v>
      </c>
      <c r="I230" s="2">
        <v>2</v>
      </c>
      <c r="J230" s="3">
        <v>32910</v>
      </c>
      <c r="K230" s="3">
        <v>65820</v>
      </c>
      <c r="L230" s="3">
        <v>41047</v>
      </c>
      <c r="M230" s="3">
        <v>24773</v>
      </c>
      <c r="N230" s="4">
        <v>0</v>
      </c>
    </row>
    <row r="231" spans="1:14" x14ac:dyDescent="0.25">
      <c r="A231" s="2">
        <v>1</v>
      </c>
      <c r="B231" s="1" t="s">
        <v>12</v>
      </c>
      <c r="C231" s="1" t="s">
        <v>13</v>
      </c>
      <c r="D231" s="1" t="s">
        <v>14</v>
      </c>
      <c r="E231" s="11" t="s">
        <v>52</v>
      </c>
      <c r="F231" s="12">
        <v>45992</v>
      </c>
      <c r="G231" s="1" t="s">
        <v>27</v>
      </c>
      <c r="H231" s="1" t="s">
        <v>29</v>
      </c>
      <c r="I231" s="2">
        <v>12</v>
      </c>
      <c r="J231" s="3">
        <v>92274</v>
      </c>
      <c r="K231" s="3">
        <v>1107288</v>
      </c>
      <c r="L231" s="3">
        <v>568738</v>
      </c>
      <c r="M231" s="3">
        <v>538550</v>
      </c>
      <c r="N231" s="4">
        <v>4</v>
      </c>
    </row>
    <row r="232" spans="1:14" x14ac:dyDescent="0.25">
      <c r="A232" s="2">
        <v>1</v>
      </c>
      <c r="B232" s="1" t="s">
        <v>12</v>
      </c>
      <c r="C232" s="1" t="s">
        <v>13</v>
      </c>
      <c r="D232" s="1" t="s">
        <v>18</v>
      </c>
      <c r="E232" s="11" t="s">
        <v>52</v>
      </c>
      <c r="F232" s="12">
        <v>45992</v>
      </c>
      <c r="G232" s="1" t="s">
        <v>27</v>
      </c>
      <c r="H232" s="1" t="s">
        <v>30</v>
      </c>
      <c r="I232" s="2">
        <v>6</v>
      </c>
      <c r="J232" s="3">
        <v>104659</v>
      </c>
      <c r="K232" s="3">
        <v>627954</v>
      </c>
      <c r="L232" s="3">
        <v>372863</v>
      </c>
      <c r="M232" s="3">
        <v>255091</v>
      </c>
      <c r="N232" s="4">
        <v>1</v>
      </c>
    </row>
    <row r="233" spans="1:14" x14ac:dyDescent="0.25">
      <c r="A233" s="2">
        <v>1</v>
      </c>
      <c r="B233" s="1" t="s">
        <v>12</v>
      </c>
      <c r="C233" s="1" t="s">
        <v>13</v>
      </c>
      <c r="D233" s="1" t="s">
        <v>18</v>
      </c>
      <c r="E233" s="11" t="s">
        <v>52</v>
      </c>
      <c r="F233" s="12">
        <v>45992</v>
      </c>
      <c r="G233" s="1" t="s">
        <v>27</v>
      </c>
      <c r="H233" s="1" t="s">
        <v>31</v>
      </c>
      <c r="I233" s="2">
        <v>13</v>
      </c>
      <c r="J233" s="3">
        <v>132581</v>
      </c>
      <c r="K233" s="3">
        <v>1723553</v>
      </c>
      <c r="L233" s="3">
        <v>1002646</v>
      </c>
      <c r="M233" s="3">
        <v>720907</v>
      </c>
      <c r="N233" s="4">
        <v>0</v>
      </c>
    </row>
    <row r="234" spans="1:14" x14ac:dyDescent="0.25">
      <c r="A234" s="2">
        <v>1</v>
      </c>
      <c r="B234" s="1" t="s">
        <v>12</v>
      </c>
      <c r="C234" s="1" t="s">
        <v>13</v>
      </c>
      <c r="D234" s="1" t="s">
        <v>18</v>
      </c>
      <c r="E234" s="11" t="s">
        <v>52</v>
      </c>
      <c r="F234" s="12">
        <v>45992</v>
      </c>
      <c r="G234" s="1" t="s">
        <v>32</v>
      </c>
      <c r="H234" s="1" t="s">
        <v>33</v>
      </c>
      <c r="I234" s="2">
        <v>6</v>
      </c>
      <c r="J234" s="3">
        <v>6605</v>
      </c>
      <c r="K234" s="3">
        <v>39630</v>
      </c>
      <c r="L234" s="3">
        <v>18776</v>
      </c>
      <c r="M234" s="3">
        <v>20854</v>
      </c>
      <c r="N234" s="4">
        <v>3</v>
      </c>
    </row>
    <row r="235" spans="1:14" x14ac:dyDescent="0.25">
      <c r="A235" s="2">
        <v>1</v>
      </c>
      <c r="B235" s="1" t="s">
        <v>12</v>
      </c>
      <c r="C235" s="1" t="s">
        <v>13</v>
      </c>
      <c r="D235" s="1" t="s">
        <v>14</v>
      </c>
      <c r="E235" s="11" t="s">
        <v>52</v>
      </c>
      <c r="F235" s="12">
        <v>45992</v>
      </c>
      <c r="G235" s="1" t="s">
        <v>32</v>
      </c>
      <c r="H235" s="1" t="s">
        <v>34</v>
      </c>
      <c r="I235" s="2">
        <v>11</v>
      </c>
      <c r="J235" s="3">
        <v>8517</v>
      </c>
      <c r="K235" s="3">
        <v>93687</v>
      </c>
      <c r="L235" s="3">
        <v>45487</v>
      </c>
      <c r="M235" s="3">
        <v>48200</v>
      </c>
      <c r="N235" s="4">
        <v>14</v>
      </c>
    </row>
    <row r="236" spans="1:14" x14ac:dyDescent="0.25">
      <c r="A236" s="2">
        <v>1</v>
      </c>
      <c r="B236" s="1" t="s">
        <v>12</v>
      </c>
      <c r="C236" s="1" t="s">
        <v>13</v>
      </c>
      <c r="D236" s="1" t="s">
        <v>14</v>
      </c>
      <c r="E236" s="11" t="s">
        <v>52</v>
      </c>
      <c r="F236" s="12">
        <v>45992</v>
      </c>
      <c r="G236" s="1" t="s">
        <v>32</v>
      </c>
      <c r="H236" s="1" t="s">
        <v>35</v>
      </c>
      <c r="I236" s="2">
        <v>9</v>
      </c>
      <c r="J236" s="3">
        <v>18046</v>
      </c>
      <c r="K236" s="3">
        <v>162414</v>
      </c>
      <c r="L236" s="3">
        <v>67481</v>
      </c>
      <c r="M236" s="3">
        <v>94933</v>
      </c>
      <c r="N236" s="4">
        <v>14</v>
      </c>
    </row>
    <row r="237" spans="1:14" x14ac:dyDescent="0.25">
      <c r="A237" s="2">
        <v>1</v>
      </c>
      <c r="B237" s="1" t="s">
        <v>12</v>
      </c>
      <c r="C237" s="1" t="s">
        <v>13</v>
      </c>
      <c r="D237" s="1" t="s">
        <v>14</v>
      </c>
      <c r="E237" s="11" t="s">
        <v>52</v>
      </c>
      <c r="F237" s="12">
        <v>45992</v>
      </c>
      <c r="G237" s="1" t="s">
        <v>32</v>
      </c>
      <c r="H237" s="1" t="s">
        <v>36</v>
      </c>
      <c r="I237" s="2">
        <v>8</v>
      </c>
      <c r="J237" s="3">
        <v>9324</v>
      </c>
      <c r="K237" s="3">
        <v>74592</v>
      </c>
      <c r="L237" s="3">
        <v>51820</v>
      </c>
      <c r="M237" s="3">
        <v>22772</v>
      </c>
      <c r="N237" s="4">
        <v>14</v>
      </c>
    </row>
    <row r="238" spans="1:14" x14ac:dyDescent="0.25">
      <c r="A238" s="2">
        <v>1</v>
      </c>
      <c r="B238" s="1" t="s">
        <v>12</v>
      </c>
      <c r="C238" s="1" t="s">
        <v>13</v>
      </c>
      <c r="D238" s="1" t="s">
        <v>14</v>
      </c>
      <c r="E238" s="11" t="s">
        <v>52</v>
      </c>
      <c r="F238" s="12">
        <v>45992</v>
      </c>
      <c r="G238" s="1" t="s">
        <v>37</v>
      </c>
      <c r="H238" s="1" t="s">
        <v>38</v>
      </c>
      <c r="I238" s="2">
        <v>6</v>
      </c>
      <c r="J238" s="3">
        <v>142177</v>
      </c>
      <c r="K238" s="3">
        <v>853062</v>
      </c>
      <c r="L238" s="3">
        <v>488633</v>
      </c>
      <c r="M238" s="3">
        <v>364429</v>
      </c>
      <c r="N238" s="4">
        <v>10</v>
      </c>
    </row>
    <row r="239" spans="1:14" x14ac:dyDescent="0.25">
      <c r="A239" s="2">
        <v>1</v>
      </c>
      <c r="B239" s="1" t="s">
        <v>12</v>
      </c>
      <c r="C239" s="1" t="s">
        <v>13</v>
      </c>
      <c r="D239" s="1" t="s">
        <v>18</v>
      </c>
      <c r="E239" s="11" t="s">
        <v>52</v>
      </c>
      <c r="F239" s="12">
        <v>45992</v>
      </c>
      <c r="G239" s="1" t="s">
        <v>37</v>
      </c>
      <c r="H239" s="1" t="s">
        <v>39</v>
      </c>
      <c r="I239" s="2">
        <v>4</v>
      </c>
      <c r="J239" s="3">
        <v>107886</v>
      </c>
      <c r="K239" s="3">
        <v>431544</v>
      </c>
      <c r="L239" s="3">
        <v>278398</v>
      </c>
      <c r="M239" s="3">
        <v>153146</v>
      </c>
      <c r="N239" s="4">
        <v>0</v>
      </c>
    </row>
    <row r="240" spans="1:14" x14ac:dyDescent="0.25">
      <c r="A240" s="2">
        <v>1</v>
      </c>
      <c r="B240" s="1" t="s">
        <v>12</v>
      </c>
      <c r="C240" s="1" t="s">
        <v>13</v>
      </c>
      <c r="D240" s="1" t="s">
        <v>14</v>
      </c>
      <c r="E240" s="11" t="s">
        <v>52</v>
      </c>
      <c r="F240" s="12">
        <v>45992</v>
      </c>
      <c r="G240" s="1" t="s">
        <v>37</v>
      </c>
      <c r="H240" s="1" t="s">
        <v>40</v>
      </c>
      <c r="I240" s="2">
        <v>6</v>
      </c>
      <c r="J240" s="3">
        <v>33234</v>
      </c>
      <c r="K240" s="3">
        <v>199404</v>
      </c>
      <c r="L240" s="3">
        <v>128866</v>
      </c>
      <c r="M240" s="3">
        <v>70538</v>
      </c>
      <c r="N240" s="4">
        <v>1</v>
      </c>
    </row>
    <row r="241" spans="1:14" x14ac:dyDescent="0.25">
      <c r="A241" s="2">
        <v>1</v>
      </c>
      <c r="B241" s="1" t="s">
        <v>12</v>
      </c>
      <c r="C241" s="1" t="s">
        <v>13</v>
      </c>
      <c r="D241" s="1" t="s">
        <v>18</v>
      </c>
      <c r="E241" s="11" t="s">
        <v>52</v>
      </c>
      <c r="F241" s="12">
        <v>45992</v>
      </c>
      <c r="G241" s="1" t="s">
        <v>37</v>
      </c>
      <c r="H241" s="1" t="s">
        <v>41</v>
      </c>
      <c r="I241" s="2">
        <v>15</v>
      </c>
      <c r="J241" s="3">
        <v>30954</v>
      </c>
      <c r="K241" s="3">
        <v>464310</v>
      </c>
      <c r="L241" s="3">
        <v>265345</v>
      </c>
      <c r="M241" s="3">
        <v>198965</v>
      </c>
      <c r="N241" s="4">
        <v>2</v>
      </c>
    </row>
    <row r="242" spans="1:14" x14ac:dyDescent="0.25">
      <c r="A242" s="2">
        <v>2</v>
      </c>
      <c r="B242" s="1" t="s">
        <v>53</v>
      </c>
      <c r="C242" s="1" t="s">
        <v>54</v>
      </c>
      <c r="D242" s="1" t="s">
        <v>55</v>
      </c>
      <c r="E242" s="11" t="s">
        <v>15</v>
      </c>
      <c r="F242" s="12">
        <v>45658</v>
      </c>
      <c r="G242" s="1" t="s">
        <v>16</v>
      </c>
      <c r="H242" s="1" t="s">
        <v>17</v>
      </c>
      <c r="I242" s="2">
        <v>13</v>
      </c>
      <c r="J242" s="3">
        <v>117579</v>
      </c>
      <c r="K242" s="3">
        <v>1528527</v>
      </c>
      <c r="L242" s="3">
        <v>705450</v>
      </c>
      <c r="M242" s="3">
        <v>823077</v>
      </c>
      <c r="N242" s="4">
        <v>9</v>
      </c>
    </row>
    <row r="243" spans="1:14" x14ac:dyDescent="0.25">
      <c r="A243" s="2">
        <v>2</v>
      </c>
      <c r="B243" s="1" t="s">
        <v>53</v>
      </c>
      <c r="C243" s="1" t="s">
        <v>54</v>
      </c>
      <c r="D243" s="1" t="s">
        <v>55</v>
      </c>
      <c r="E243" s="11" t="s">
        <v>15</v>
      </c>
      <c r="F243" s="12">
        <v>45658</v>
      </c>
      <c r="G243" s="1" t="s">
        <v>16</v>
      </c>
      <c r="H243" s="1" t="s">
        <v>19</v>
      </c>
      <c r="I243" s="2">
        <v>4</v>
      </c>
      <c r="J243" s="3">
        <v>111922</v>
      </c>
      <c r="K243" s="3">
        <v>447688</v>
      </c>
      <c r="L243" s="3">
        <v>205870</v>
      </c>
      <c r="M243" s="3">
        <v>241818</v>
      </c>
      <c r="N243" s="4">
        <v>3</v>
      </c>
    </row>
    <row r="244" spans="1:14" x14ac:dyDescent="0.25">
      <c r="A244" s="2">
        <v>2</v>
      </c>
      <c r="B244" s="1" t="s">
        <v>53</v>
      </c>
      <c r="C244" s="1" t="s">
        <v>54</v>
      </c>
      <c r="D244" s="1" t="s">
        <v>55</v>
      </c>
      <c r="E244" s="11" t="s">
        <v>15</v>
      </c>
      <c r="F244" s="12">
        <v>45658</v>
      </c>
      <c r="G244" s="1" t="s">
        <v>16</v>
      </c>
      <c r="H244" s="1" t="s">
        <v>20</v>
      </c>
      <c r="I244" s="2">
        <v>17</v>
      </c>
      <c r="J244" s="3">
        <v>124587</v>
      </c>
      <c r="K244" s="3">
        <v>2117979</v>
      </c>
      <c r="L244" s="3">
        <v>920158</v>
      </c>
      <c r="M244" s="3">
        <v>1197821</v>
      </c>
      <c r="N244" s="4">
        <v>9</v>
      </c>
    </row>
    <row r="245" spans="1:14" x14ac:dyDescent="0.25">
      <c r="A245" s="2">
        <v>2</v>
      </c>
      <c r="B245" s="1" t="s">
        <v>53</v>
      </c>
      <c r="C245" s="1" t="s">
        <v>54</v>
      </c>
      <c r="D245" s="1" t="s">
        <v>55</v>
      </c>
      <c r="E245" s="11" t="s">
        <v>15</v>
      </c>
      <c r="F245" s="12">
        <v>45658</v>
      </c>
      <c r="G245" s="1" t="s">
        <v>16</v>
      </c>
      <c r="H245" s="1" t="s">
        <v>21</v>
      </c>
      <c r="I245" s="2">
        <v>14</v>
      </c>
      <c r="J245" s="3">
        <v>130911</v>
      </c>
      <c r="K245" s="3">
        <v>1832754</v>
      </c>
      <c r="L245" s="3">
        <v>781096</v>
      </c>
      <c r="M245" s="3">
        <v>1051658</v>
      </c>
      <c r="N245" s="4">
        <v>13</v>
      </c>
    </row>
    <row r="246" spans="1:14" x14ac:dyDescent="0.25">
      <c r="A246" s="2">
        <v>2</v>
      </c>
      <c r="B246" s="1" t="s">
        <v>53</v>
      </c>
      <c r="C246" s="1" t="s">
        <v>54</v>
      </c>
      <c r="D246" s="1" t="s">
        <v>56</v>
      </c>
      <c r="E246" s="11" t="s">
        <v>15</v>
      </c>
      <c r="F246" s="12">
        <v>45658</v>
      </c>
      <c r="G246" s="1" t="s">
        <v>22</v>
      </c>
      <c r="H246" s="1" t="s">
        <v>23</v>
      </c>
      <c r="I246" s="2">
        <v>11</v>
      </c>
      <c r="J246" s="3">
        <v>52254</v>
      </c>
      <c r="K246" s="3">
        <v>574794</v>
      </c>
      <c r="L246" s="3">
        <v>312884</v>
      </c>
      <c r="M246" s="3">
        <v>261910</v>
      </c>
      <c r="N246" s="4">
        <v>10</v>
      </c>
    </row>
    <row r="247" spans="1:14" x14ac:dyDescent="0.25">
      <c r="A247" s="2">
        <v>2</v>
      </c>
      <c r="B247" s="1" t="s">
        <v>53</v>
      </c>
      <c r="C247" s="1" t="s">
        <v>54</v>
      </c>
      <c r="D247" s="1" t="s">
        <v>56</v>
      </c>
      <c r="E247" s="11" t="s">
        <v>15</v>
      </c>
      <c r="F247" s="12">
        <v>45658</v>
      </c>
      <c r="G247" s="1" t="s">
        <v>22</v>
      </c>
      <c r="H247" s="1" t="s">
        <v>24</v>
      </c>
      <c r="I247" s="2">
        <v>3</v>
      </c>
      <c r="J247" s="3">
        <v>40128</v>
      </c>
      <c r="K247" s="3">
        <v>120384</v>
      </c>
      <c r="L247" s="3">
        <v>61488</v>
      </c>
      <c r="M247" s="3">
        <v>58896</v>
      </c>
      <c r="N247" s="4">
        <v>7</v>
      </c>
    </row>
    <row r="248" spans="1:14" x14ac:dyDescent="0.25">
      <c r="A248" s="2">
        <v>2</v>
      </c>
      <c r="B248" s="1" t="s">
        <v>53</v>
      </c>
      <c r="C248" s="1" t="s">
        <v>54</v>
      </c>
      <c r="D248" s="1" t="s">
        <v>56</v>
      </c>
      <c r="E248" s="11" t="s">
        <v>15</v>
      </c>
      <c r="F248" s="12">
        <v>45658</v>
      </c>
      <c r="G248" s="1" t="s">
        <v>22</v>
      </c>
      <c r="H248" s="1" t="s">
        <v>25</v>
      </c>
      <c r="I248" s="2">
        <v>10</v>
      </c>
      <c r="J248" s="3">
        <v>102180</v>
      </c>
      <c r="K248" s="3">
        <v>1021800</v>
      </c>
      <c r="L248" s="3">
        <v>428146</v>
      </c>
      <c r="M248" s="3">
        <v>593654</v>
      </c>
      <c r="N248" s="4">
        <v>11</v>
      </c>
    </row>
    <row r="249" spans="1:14" x14ac:dyDescent="0.25">
      <c r="A249" s="2">
        <v>2</v>
      </c>
      <c r="B249" s="1" t="s">
        <v>53</v>
      </c>
      <c r="C249" s="1" t="s">
        <v>54</v>
      </c>
      <c r="D249" s="1" t="s">
        <v>55</v>
      </c>
      <c r="E249" s="11" t="s">
        <v>15</v>
      </c>
      <c r="F249" s="12">
        <v>45658</v>
      </c>
      <c r="G249" s="1" t="s">
        <v>22</v>
      </c>
      <c r="H249" s="1" t="s">
        <v>26</v>
      </c>
      <c r="I249" s="2">
        <v>2</v>
      </c>
      <c r="J249" s="3">
        <v>136748</v>
      </c>
      <c r="K249" s="3">
        <v>273496</v>
      </c>
      <c r="L249" s="3">
        <v>165566</v>
      </c>
      <c r="M249" s="3">
        <v>107930</v>
      </c>
      <c r="N249" s="4">
        <v>3</v>
      </c>
    </row>
    <row r="250" spans="1:14" x14ac:dyDescent="0.25">
      <c r="A250" s="2">
        <v>2</v>
      </c>
      <c r="B250" s="1" t="s">
        <v>53</v>
      </c>
      <c r="C250" s="1" t="s">
        <v>54</v>
      </c>
      <c r="D250" s="1" t="s">
        <v>55</v>
      </c>
      <c r="E250" s="11" t="s">
        <v>15</v>
      </c>
      <c r="F250" s="12">
        <v>45658</v>
      </c>
      <c r="G250" s="1" t="s">
        <v>27</v>
      </c>
      <c r="H250" s="1" t="s">
        <v>28</v>
      </c>
      <c r="I250" s="2">
        <v>1</v>
      </c>
      <c r="J250" s="3">
        <v>21342</v>
      </c>
      <c r="K250" s="3">
        <v>21342</v>
      </c>
      <c r="L250" s="3">
        <v>12900</v>
      </c>
      <c r="M250" s="3">
        <v>8442</v>
      </c>
      <c r="N250" s="4">
        <v>0</v>
      </c>
    </row>
    <row r="251" spans="1:14" x14ac:dyDescent="0.25">
      <c r="A251" s="2">
        <v>2</v>
      </c>
      <c r="B251" s="1" t="s">
        <v>53</v>
      </c>
      <c r="C251" s="1" t="s">
        <v>54</v>
      </c>
      <c r="D251" s="1" t="s">
        <v>55</v>
      </c>
      <c r="E251" s="11" t="s">
        <v>15</v>
      </c>
      <c r="F251" s="12">
        <v>45658</v>
      </c>
      <c r="G251" s="1" t="s">
        <v>27</v>
      </c>
      <c r="H251" s="1" t="s">
        <v>29</v>
      </c>
      <c r="I251" s="2">
        <v>9</v>
      </c>
      <c r="J251" s="3">
        <v>136682</v>
      </c>
      <c r="K251" s="3">
        <v>1230138</v>
      </c>
      <c r="L251" s="3">
        <v>666673</v>
      </c>
      <c r="M251" s="3">
        <v>563465</v>
      </c>
      <c r="N251" s="4">
        <v>5</v>
      </c>
    </row>
    <row r="252" spans="1:14" x14ac:dyDescent="0.25">
      <c r="A252" s="2">
        <v>2</v>
      </c>
      <c r="B252" s="1" t="s">
        <v>53</v>
      </c>
      <c r="C252" s="1" t="s">
        <v>54</v>
      </c>
      <c r="D252" s="1" t="s">
        <v>56</v>
      </c>
      <c r="E252" s="11" t="s">
        <v>15</v>
      </c>
      <c r="F252" s="12">
        <v>45658</v>
      </c>
      <c r="G252" s="1" t="s">
        <v>27</v>
      </c>
      <c r="H252" s="1" t="s">
        <v>30</v>
      </c>
      <c r="I252" s="2">
        <v>3</v>
      </c>
      <c r="J252" s="3">
        <v>113789</v>
      </c>
      <c r="K252" s="3">
        <v>341367</v>
      </c>
      <c r="L252" s="3">
        <v>147473</v>
      </c>
      <c r="M252" s="3">
        <v>193894</v>
      </c>
      <c r="N252" s="4">
        <v>4</v>
      </c>
    </row>
    <row r="253" spans="1:14" x14ac:dyDescent="0.25">
      <c r="A253" s="2">
        <v>2</v>
      </c>
      <c r="B253" s="1" t="s">
        <v>53</v>
      </c>
      <c r="C253" s="1" t="s">
        <v>54</v>
      </c>
      <c r="D253" s="1" t="s">
        <v>56</v>
      </c>
      <c r="E253" s="11" t="s">
        <v>15</v>
      </c>
      <c r="F253" s="12">
        <v>45658</v>
      </c>
      <c r="G253" s="1" t="s">
        <v>27</v>
      </c>
      <c r="H253" s="1" t="s">
        <v>31</v>
      </c>
      <c r="I253" s="2">
        <v>12</v>
      </c>
      <c r="J253" s="3">
        <v>62929</v>
      </c>
      <c r="K253" s="3">
        <v>755148</v>
      </c>
      <c r="L253" s="3">
        <v>330218</v>
      </c>
      <c r="M253" s="3">
        <v>424930</v>
      </c>
      <c r="N253" s="4">
        <v>7</v>
      </c>
    </row>
    <row r="254" spans="1:14" x14ac:dyDescent="0.25">
      <c r="A254" s="2">
        <v>2</v>
      </c>
      <c r="B254" s="1" t="s">
        <v>53</v>
      </c>
      <c r="C254" s="1" t="s">
        <v>54</v>
      </c>
      <c r="D254" s="1" t="s">
        <v>56</v>
      </c>
      <c r="E254" s="11" t="s">
        <v>15</v>
      </c>
      <c r="F254" s="12">
        <v>45658</v>
      </c>
      <c r="G254" s="1" t="s">
        <v>32</v>
      </c>
      <c r="H254" s="1" t="s">
        <v>33</v>
      </c>
      <c r="I254" s="2">
        <v>11</v>
      </c>
      <c r="J254" s="3">
        <v>10256</v>
      </c>
      <c r="K254" s="3">
        <v>112816</v>
      </c>
      <c r="L254" s="3">
        <v>52064</v>
      </c>
      <c r="M254" s="3">
        <v>60752</v>
      </c>
      <c r="N254" s="4">
        <v>2</v>
      </c>
    </row>
    <row r="255" spans="1:14" x14ac:dyDescent="0.25">
      <c r="A255" s="2">
        <v>2</v>
      </c>
      <c r="B255" s="1" t="s">
        <v>53</v>
      </c>
      <c r="C255" s="1" t="s">
        <v>54</v>
      </c>
      <c r="D255" s="1" t="s">
        <v>56</v>
      </c>
      <c r="E255" s="11" t="s">
        <v>15</v>
      </c>
      <c r="F255" s="12">
        <v>45658</v>
      </c>
      <c r="G255" s="1" t="s">
        <v>32</v>
      </c>
      <c r="H255" s="1" t="s">
        <v>34</v>
      </c>
      <c r="I255" s="2">
        <v>3</v>
      </c>
      <c r="J255" s="3">
        <v>7560</v>
      </c>
      <c r="K255" s="3">
        <v>22680</v>
      </c>
      <c r="L255" s="3">
        <v>14114</v>
      </c>
      <c r="M255" s="3">
        <v>8566</v>
      </c>
      <c r="N255" s="4">
        <v>5</v>
      </c>
    </row>
    <row r="256" spans="1:14" x14ac:dyDescent="0.25">
      <c r="A256" s="2">
        <v>2</v>
      </c>
      <c r="B256" s="1" t="s">
        <v>53</v>
      </c>
      <c r="C256" s="1" t="s">
        <v>54</v>
      </c>
      <c r="D256" s="1" t="s">
        <v>56</v>
      </c>
      <c r="E256" s="11" t="s">
        <v>15</v>
      </c>
      <c r="F256" s="12">
        <v>45658</v>
      </c>
      <c r="G256" s="1" t="s">
        <v>32</v>
      </c>
      <c r="H256" s="1" t="s">
        <v>35</v>
      </c>
      <c r="I256" s="2">
        <v>8</v>
      </c>
      <c r="J256" s="3">
        <v>17042</v>
      </c>
      <c r="K256" s="3">
        <v>136336</v>
      </c>
      <c r="L256" s="3">
        <v>87061</v>
      </c>
      <c r="M256" s="3">
        <v>49275</v>
      </c>
      <c r="N256" s="4">
        <v>13</v>
      </c>
    </row>
    <row r="257" spans="1:14" x14ac:dyDescent="0.25">
      <c r="A257" s="2">
        <v>2</v>
      </c>
      <c r="B257" s="1" t="s">
        <v>53</v>
      </c>
      <c r="C257" s="1" t="s">
        <v>54</v>
      </c>
      <c r="D257" s="1" t="s">
        <v>55</v>
      </c>
      <c r="E257" s="11" t="s">
        <v>15</v>
      </c>
      <c r="F257" s="12">
        <v>45658</v>
      </c>
      <c r="G257" s="1" t="s">
        <v>32</v>
      </c>
      <c r="H257" s="1" t="s">
        <v>36</v>
      </c>
      <c r="I257" s="2">
        <v>3</v>
      </c>
      <c r="J257" s="3">
        <v>9820</v>
      </c>
      <c r="K257" s="3">
        <v>29460</v>
      </c>
      <c r="L257" s="3">
        <v>13431</v>
      </c>
      <c r="M257" s="3">
        <v>16029</v>
      </c>
      <c r="N257" s="4">
        <v>2</v>
      </c>
    </row>
    <row r="258" spans="1:14" x14ac:dyDescent="0.25">
      <c r="A258" s="2">
        <v>2</v>
      </c>
      <c r="B258" s="1" t="s">
        <v>53</v>
      </c>
      <c r="C258" s="1" t="s">
        <v>54</v>
      </c>
      <c r="D258" s="1" t="s">
        <v>55</v>
      </c>
      <c r="E258" s="11" t="s">
        <v>15</v>
      </c>
      <c r="F258" s="12">
        <v>45658</v>
      </c>
      <c r="G258" s="1" t="s">
        <v>37</v>
      </c>
      <c r="H258" s="1" t="s">
        <v>38</v>
      </c>
      <c r="I258" s="2">
        <v>14</v>
      </c>
      <c r="J258" s="3">
        <v>125881</v>
      </c>
      <c r="K258" s="3">
        <v>1762334</v>
      </c>
      <c r="L258" s="3">
        <v>1184922</v>
      </c>
      <c r="M258" s="3">
        <v>577412</v>
      </c>
      <c r="N258" s="4">
        <v>8</v>
      </c>
    </row>
    <row r="259" spans="1:14" x14ac:dyDescent="0.25">
      <c r="A259" s="2">
        <v>2</v>
      </c>
      <c r="B259" s="1" t="s">
        <v>53</v>
      </c>
      <c r="C259" s="1" t="s">
        <v>54</v>
      </c>
      <c r="D259" s="1" t="s">
        <v>55</v>
      </c>
      <c r="E259" s="11" t="s">
        <v>15</v>
      </c>
      <c r="F259" s="12">
        <v>45658</v>
      </c>
      <c r="G259" s="1" t="s">
        <v>37</v>
      </c>
      <c r="H259" s="1" t="s">
        <v>39</v>
      </c>
      <c r="I259" s="2">
        <v>13</v>
      </c>
      <c r="J259" s="3">
        <v>102985</v>
      </c>
      <c r="K259" s="3">
        <v>1338805</v>
      </c>
      <c r="L259" s="3">
        <v>693144</v>
      </c>
      <c r="M259" s="3">
        <v>645661</v>
      </c>
      <c r="N259" s="4">
        <v>7</v>
      </c>
    </row>
    <row r="260" spans="1:14" x14ac:dyDescent="0.25">
      <c r="A260" s="2">
        <v>2</v>
      </c>
      <c r="B260" s="1" t="s">
        <v>53</v>
      </c>
      <c r="C260" s="1" t="s">
        <v>54</v>
      </c>
      <c r="D260" s="1" t="s">
        <v>56</v>
      </c>
      <c r="E260" s="11" t="s">
        <v>15</v>
      </c>
      <c r="F260" s="12">
        <v>45658</v>
      </c>
      <c r="G260" s="1" t="s">
        <v>37</v>
      </c>
      <c r="H260" s="1" t="s">
        <v>40</v>
      </c>
      <c r="I260" s="2">
        <v>8</v>
      </c>
      <c r="J260" s="3">
        <v>95046</v>
      </c>
      <c r="K260" s="3">
        <v>760368</v>
      </c>
      <c r="L260" s="3">
        <v>466968</v>
      </c>
      <c r="M260" s="3">
        <v>293400</v>
      </c>
      <c r="N260" s="4">
        <v>2</v>
      </c>
    </row>
    <row r="261" spans="1:14" x14ac:dyDescent="0.25">
      <c r="A261" s="2">
        <v>2</v>
      </c>
      <c r="B261" s="1" t="s">
        <v>53</v>
      </c>
      <c r="C261" s="1" t="s">
        <v>54</v>
      </c>
      <c r="D261" s="1" t="s">
        <v>55</v>
      </c>
      <c r="E261" s="11" t="s">
        <v>15</v>
      </c>
      <c r="F261" s="12">
        <v>45658</v>
      </c>
      <c r="G261" s="1" t="s">
        <v>37</v>
      </c>
      <c r="H261" s="1" t="s">
        <v>41</v>
      </c>
      <c r="I261" s="2">
        <v>6</v>
      </c>
      <c r="J261" s="3">
        <v>91520</v>
      </c>
      <c r="K261" s="3">
        <v>549120</v>
      </c>
      <c r="L261" s="3">
        <v>342806</v>
      </c>
      <c r="M261" s="3">
        <v>206314</v>
      </c>
      <c r="N261" s="4">
        <v>14</v>
      </c>
    </row>
    <row r="262" spans="1:14" x14ac:dyDescent="0.25">
      <c r="A262" s="2">
        <v>2</v>
      </c>
      <c r="B262" s="1" t="s">
        <v>53</v>
      </c>
      <c r="C262" s="1" t="s">
        <v>54</v>
      </c>
      <c r="D262" s="1" t="s">
        <v>56</v>
      </c>
      <c r="E262" s="11" t="s">
        <v>42</v>
      </c>
      <c r="F262" s="12">
        <v>45689</v>
      </c>
      <c r="G262" s="1" t="s">
        <v>16</v>
      </c>
      <c r="H262" s="1" t="s">
        <v>17</v>
      </c>
      <c r="I262" s="2">
        <v>1</v>
      </c>
      <c r="J262" s="3">
        <v>39096</v>
      </c>
      <c r="K262" s="3">
        <v>39096</v>
      </c>
      <c r="L262" s="3">
        <v>19806</v>
      </c>
      <c r="M262" s="3">
        <v>19290</v>
      </c>
      <c r="N262" s="4">
        <v>14</v>
      </c>
    </row>
    <row r="263" spans="1:14" x14ac:dyDescent="0.25">
      <c r="A263" s="2">
        <v>2</v>
      </c>
      <c r="B263" s="1" t="s">
        <v>53</v>
      </c>
      <c r="C263" s="1" t="s">
        <v>54</v>
      </c>
      <c r="D263" s="1" t="s">
        <v>55</v>
      </c>
      <c r="E263" s="11" t="s">
        <v>42</v>
      </c>
      <c r="F263" s="12">
        <v>45689</v>
      </c>
      <c r="G263" s="1" t="s">
        <v>16</v>
      </c>
      <c r="H263" s="1" t="s">
        <v>19</v>
      </c>
      <c r="I263" s="2">
        <v>2</v>
      </c>
      <c r="J263" s="3">
        <v>38381</v>
      </c>
      <c r="K263" s="3">
        <v>76762</v>
      </c>
      <c r="L263" s="3">
        <v>32238</v>
      </c>
      <c r="M263" s="3">
        <v>44524</v>
      </c>
      <c r="N263" s="4">
        <v>7</v>
      </c>
    </row>
    <row r="264" spans="1:14" x14ac:dyDescent="0.25">
      <c r="A264" s="2">
        <v>2</v>
      </c>
      <c r="B264" s="1" t="s">
        <v>53</v>
      </c>
      <c r="C264" s="1" t="s">
        <v>54</v>
      </c>
      <c r="D264" s="1" t="s">
        <v>55</v>
      </c>
      <c r="E264" s="11" t="s">
        <v>42</v>
      </c>
      <c r="F264" s="12">
        <v>45689</v>
      </c>
      <c r="G264" s="1" t="s">
        <v>16</v>
      </c>
      <c r="H264" s="1" t="s">
        <v>20</v>
      </c>
      <c r="I264" s="2">
        <v>19</v>
      </c>
      <c r="J264" s="3">
        <v>31302</v>
      </c>
      <c r="K264" s="3">
        <v>594738</v>
      </c>
      <c r="L264" s="3">
        <v>258752</v>
      </c>
      <c r="M264" s="3">
        <v>335986</v>
      </c>
      <c r="N264" s="4">
        <v>5</v>
      </c>
    </row>
    <row r="265" spans="1:14" x14ac:dyDescent="0.25">
      <c r="A265" s="2">
        <v>2</v>
      </c>
      <c r="B265" s="1" t="s">
        <v>53</v>
      </c>
      <c r="C265" s="1" t="s">
        <v>54</v>
      </c>
      <c r="D265" s="1" t="s">
        <v>56</v>
      </c>
      <c r="E265" s="11" t="s">
        <v>42</v>
      </c>
      <c r="F265" s="12">
        <v>45689</v>
      </c>
      <c r="G265" s="1" t="s">
        <v>16</v>
      </c>
      <c r="H265" s="1" t="s">
        <v>21</v>
      </c>
      <c r="I265" s="2">
        <v>3</v>
      </c>
      <c r="J265" s="3">
        <v>116646</v>
      </c>
      <c r="K265" s="3">
        <v>349938</v>
      </c>
      <c r="L265" s="3">
        <v>216669</v>
      </c>
      <c r="M265" s="3">
        <v>133269</v>
      </c>
      <c r="N265" s="4">
        <v>9</v>
      </c>
    </row>
    <row r="266" spans="1:14" x14ac:dyDescent="0.25">
      <c r="A266" s="2">
        <v>2</v>
      </c>
      <c r="B266" s="1" t="s">
        <v>53</v>
      </c>
      <c r="C266" s="1" t="s">
        <v>54</v>
      </c>
      <c r="D266" s="1" t="s">
        <v>56</v>
      </c>
      <c r="E266" s="11" t="s">
        <v>42</v>
      </c>
      <c r="F266" s="12">
        <v>45689</v>
      </c>
      <c r="G266" s="1" t="s">
        <v>22</v>
      </c>
      <c r="H266" s="1" t="s">
        <v>23</v>
      </c>
      <c r="I266" s="2">
        <v>15</v>
      </c>
      <c r="J266" s="3">
        <v>140430</v>
      </c>
      <c r="K266" s="3">
        <v>2106450</v>
      </c>
      <c r="L266" s="3">
        <v>1234425</v>
      </c>
      <c r="M266" s="3">
        <v>872025</v>
      </c>
      <c r="N266" s="4">
        <v>3</v>
      </c>
    </row>
    <row r="267" spans="1:14" x14ac:dyDescent="0.25">
      <c r="A267" s="2">
        <v>2</v>
      </c>
      <c r="B267" s="1" t="s">
        <v>53</v>
      </c>
      <c r="C267" s="1" t="s">
        <v>54</v>
      </c>
      <c r="D267" s="1" t="s">
        <v>56</v>
      </c>
      <c r="E267" s="11" t="s">
        <v>42</v>
      </c>
      <c r="F267" s="12">
        <v>45689</v>
      </c>
      <c r="G267" s="1" t="s">
        <v>22</v>
      </c>
      <c r="H267" s="1" t="s">
        <v>24</v>
      </c>
      <c r="I267" s="2">
        <v>7</v>
      </c>
      <c r="J267" s="3">
        <v>20922</v>
      </c>
      <c r="K267" s="3">
        <v>146454</v>
      </c>
      <c r="L267" s="3">
        <v>93229</v>
      </c>
      <c r="M267" s="3">
        <v>53225</v>
      </c>
      <c r="N267" s="4">
        <v>5</v>
      </c>
    </row>
    <row r="268" spans="1:14" x14ac:dyDescent="0.25">
      <c r="A268" s="2">
        <v>2</v>
      </c>
      <c r="B268" s="1" t="s">
        <v>53</v>
      </c>
      <c r="C268" s="1" t="s">
        <v>54</v>
      </c>
      <c r="D268" s="1" t="s">
        <v>56</v>
      </c>
      <c r="E268" s="11" t="s">
        <v>42</v>
      </c>
      <c r="F268" s="12">
        <v>45689</v>
      </c>
      <c r="G268" s="1" t="s">
        <v>22</v>
      </c>
      <c r="H268" s="1" t="s">
        <v>25</v>
      </c>
      <c r="I268" s="2">
        <v>1</v>
      </c>
      <c r="J268" s="3">
        <v>64028</v>
      </c>
      <c r="K268" s="3">
        <v>64028</v>
      </c>
      <c r="L268" s="3">
        <v>30384</v>
      </c>
      <c r="M268" s="3">
        <v>33644</v>
      </c>
      <c r="N268" s="4">
        <v>6</v>
      </c>
    </row>
    <row r="269" spans="1:14" x14ac:dyDescent="0.25">
      <c r="A269" s="2">
        <v>2</v>
      </c>
      <c r="B269" s="1" t="s">
        <v>53</v>
      </c>
      <c r="C269" s="1" t="s">
        <v>54</v>
      </c>
      <c r="D269" s="1" t="s">
        <v>55</v>
      </c>
      <c r="E269" s="11" t="s">
        <v>42</v>
      </c>
      <c r="F269" s="12">
        <v>45689</v>
      </c>
      <c r="G269" s="1" t="s">
        <v>22</v>
      </c>
      <c r="H269" s="1" t="s">
        <v>26</v>
      </c>
      <c r="I269" s="2">
        <v>1</v>
      </c>
      <c r="J269" s="3">
        <v>123677</v>
      </c>
      <c r="K269" s="3">
        <v>123677</v>
      </c>
      <c r="L269" s="3">
        <v>57060</v>
      </c>
      <c r="M269" s="3">
        <v>66617</v>
      </c>
      <c r="N269" s="4">
        <v>1</v>
      </c>
    </row>
    <row r="270" spans="1:14" x14ac:dyDescent="0.25">
      <c r="A270" s="2">
        <v>2</v>
      </c>
      <c r="B270" s="1" t="s">
        <v>53</v>
      </c>
      <c r="C270" s="1" t="s">
        <v>54</v>
      </c>
      <c r="D270" s="1" t="s">
        <v>56</v>
      </c>
      <c r="E270" s="11" t="s">
        <v>42</v>
      </c>
      <c r="F270" s="12">
        <v>45689</v>
      </c>
      <c r="G270" s="1" t="s">
        <v>27</v>
      </c>
      <c r="H270" s="1" t="s">
        <v>28</v>
      </c>
      <c r="I270" s="2">
        <v>10</v>
      </c>
      <c r="J270" s="3">
        <v>122916</v>
      </c>
      <c r="K270" s="3">
        <v>1229160</v>
      </c>
      <c r="L270" s="3">
        <v>814969</v>
      </c>
      <c r="M270" s="3">
        <v>414191</v>
      </c>
      <c r="N270" s="4">
        <v>0</v>
      </c>
    </row>
    <row r="271" spans="1:14" x14ac:dyDescent="0.25">
      <c r="A271" s="2">
        <v>2</v>
      </c>
      <c r="B271" s="1" t="s">
        <v>53</v>
      </c>
      <c r="C271" s="1" t="s">
        <v>54</v>
      </c>
      <c r="D271" s="1" t="s">
        <v>56</v>
      </c>
      <c r="E271" s="11" t="s">
        <v>42</v>
      </c>
      <c r="F271" s="12">
        <v>45689</v>
      </c>
      <c r="G271" s="1" t="s">
        <v>27</v>
      </c>
      <c r="H271" s="1" t="s">
        <v>29</v>
      </c>
      <c r="I271" s="2">
        <v>6</v>
      </c>
      <c r="J271" s="3">
        <v>75180</v>
      </c>
      <c r="K271" s="3">
        <v>451080</v>
      </c>
      <c r="L271" s="3">
        <v>195403</v>
      </c>
      <c r="M271" s="3">
        <v>255677</v>
      </c>
      <c r="N271" s="4">
        <v>3</v>
      </c>
    </row>
    <row r="272" spans="1:14" x14ac:dyDescent="0.25">
      <c r="A272" s="2">
        <v>2</v>
      </c>
      <c r="B272" s="1" t="s">
        <v>53</v>
      </c>
      <c r="C272" s="1" t="s">
        <v>54</v>
      </c>
      <c r="D272" s="1" t="s">
        <v>56</v>
      </c>
      <c r="E272" s="11" t="s">
        <v>42</v>
      </c>
      <c r="F272" s="12">
        <v>45689</v>
      </c>
      <c r="G272" s="1" t="s">
        <v>27</v>
      </c>
      <c r="H272" s="1" t="s">
        <v>30</v>
      </c>
      <c r="I272" s="2">
        <v>13</v>
      </c>
      <c r="J272" s="3">
        <v>91895</v>
      </c>
      <c r="K272" s="3">
        <v>1194635</v>
      </c>
      <c r="L272" s="3">
        <v>694306</v>
      </c>
      <c r="M272" s="3">
        <v>500329</v>
      </c>
      <c r="N272" s="4">
        <v>14</v>
      </c>
    </row>
    <row r="273" spans="1:14" x14ac:dyDescent="0.25">
      <c r="A273" s="2">
        <v>2</v>
      </c>
      <c r="B273" s="1" t="s">
        <v>53</v>
      </c>
      <c r="C273" s="1" t="s">
        <v>54</v>
      </c>
      <c r="D273" s="1" t="s">
        <v>56</v>
      </c>
      <c r="E273" s="11" t="s">
        <v>42</v>
      </c>
      <c r="F273" s="12">
        <v>45689</v>
      </c>
      <c r="G273" s="1" t="s">
        <v>27</v>
      </c>
      <c r="H273" s="1" t="s">
        <v>31</v>
      </c>
      <c r="I273" s="2">
        <v>8</v>
      </c>
      <c r="J273" s="3">
        <v>84772</v>
      </c>
      <c r="K273" s="3">
        <v>678176</v>
      </c>
      <c r="L273" s="3">
        <v>370221</v>
      </c>
      <c r="M273" s="3">
        <v>307955</v>
      </c>
      <c r="N273" s="4">
        <v>3</v>
      </c>
    </row>
    <row r="274" spans="1:14" x14ac:dyDescent="0.25">
      <c r="A274" s="2">
        <v>2</v>
      </c>
      <c r="B274" s="1" t="s">
        <v>53</v>
      </c>
      <c r="C274" s="1" t="s">
        <v>54</v>
      </c>
      <c r="D274" s="1" t="s">
        <v>56</v>
      </c>
      <c r="E274" s="11" t="s">
        <v>42</v>
      </c>
      <c r="F274" s="12">
        <v>45689</v>
      </c>
      <c r="G274" s="1" t="s">
        <v>32</v>
      </c>
      <c r="H274" s="1" t="s">
        <v>33</v>
      </c>
      <c r="I274" s="2">
        <v>12</v>
      </c>
      <c r="J274" s="3">
        <v>8756</v>
      </c>
      <c r="K274" s="3">
        <v>105072</v>
      </c>
      <c r="L274" s="3">
        <v>64725</v>
      </c>
      <c r="M274" s="3">
        <v>40347</v>
      </c>
      <c r="N274" s="4">
        <v>14</v>
      </c>
    </row>
    <row r="275" spans="1:14" x14ac:dyDescent="0.25">
      <c r="A275" s="2">
        <v>2</v>
      </c>
      <c r="B275" s="1" t="s">
        <v>53</v>
      </c>
      <c r="C275" s="1" t="s">
        <v>54</v>
      </c>
      <c r="D275" s="1" t="s">
        <v>56</v>
      </c>
      <c r="E275" s="11" t="s">
        <v>42</v>
      </c>
      <c r="F275" s="12">
        <v>45689</v>
      </c>
      <c r="G275" s="1" t="s">
        <v>32</v>
      </c>
      <c r="H275" s="1" t="s">
        <v>34</v>
      </c>
      <c r="I275" s="2">
        <v>19</v>
      </c>
      <c r="J275" s="3">
        <v>11898</v>
      </c>
      <c r="K275" s="3">
        <v>226062</v>
      </c>
      <c r="L275" s="3">
        <v>128776</v>
      </c>
      <c r="M275" s="3">
        <v>97286</v>
      </c>
      <c r="N275" s="4">
        <v>9</v>
      </c>
    </row>
    <row r="276" spans="1:14" x14ac:dyDescent="0.25">
      <c r="A276" s="2">
        <v>2</v>
      </c>
      <c r="B276" s="1" t="s">
        <v>53</v>
      </c>
      <c r="C276" s="1" t="s">
        <v>54</v>
      </c>
      <c r="D276" s="1" t="s">
        <v>55</v>
      </c>
      <c r="E276" s="11" t="s">
        <v>42</v>
      </c>
      <c r="F276" s="12">
        <v>45689</v>
      </c>
      <c r="G276" s="1" t="s">
        <v>32</v>
      </c>
      <c r="H276" s="1" t="s">
        <v>35</v>
      </c>
      <c r="I276" s="2">
        <v>11</v>
      </c>
      <c r="J276" s="3">
        <v>7116</v>
      </c>
      <c r="K276" s="3">
        <v>78276</v>
      </c>
      <c r="L276" s="3">
        <v>50725</v>
      </c>
      <c r="M276" s="3">
        <v>27551</v>
      </c>
      <c r="N276" s="4">
        <v>13</v>
      </c>
    </row>
    <row r="277" spans="1:14" x14ac:dyDescent="0.25">
      <c r="A277" s="2">
        <v>2</v>
      </c>
      <c r="B277" s="1" t="s">
        <v>53</v>
      </c>
      <c r="C277" s="1" t="s">
        <v>54</v>
      </c>
      <c r="D277" s="1" t="s">
        <v>55</v>
      </c>
      <c r="E277" s="11" t="s">
        <v>42</v>
      </c>
      <c r="F277" s="12">
        <v>45689</v>
      </c>
      <c r="G277" s="1" t="s">
        <v>32</v>
      </c>
      <c r="H277" s="1" t="s">
        <v>36</v>
      </c>
      <c r="I277" s="2">
        <v>10</v>
      </c>
      <c r="J277" s="3">
        <v>16111</v>
      </c>
      <c r="K277" s="3">
        <v>161110</v>
      </c>
      <c r="L277" s="3">
        <v>92641</v>
      </c>
      <c r="M277" s="3">
        <v>68469</v>
      </c>
      <c r="N277" s="4">
        <v>7</v>
      </c>
    </row>
    <row r="278" spans="1:14" x14ac:dyDescent="0.25">
      <c r="A278" s="2">
        <v>2</v>
      </c>
      <c r="B278" s="1" t="s">
        <v>53</v>
      </c>
      <c r="C278" s="1" t="s">
        <v>54</v>
      </c>
      <c r="D278" s="1" t="s">
        <v>56</v>
      </c>
      <c r="E278" s="11" t="s">
        <v>42</v>
      </c>
      <c r="F278" s="12">
        <v>45689</v>
      </c>
      <c r="G278" s="1" t="s">
        <v>37</v>
      </c>
      <c r="H278" s="1" t="s">
        <v>38</v>
      </c>
      <c r="I278" s="2">
        <v>15</v>
      </c>
      <c r="J278" s="3">
        <v>135033</v>
      </c>
      <c r="K278" s="3">
        <v>2025495</v>
      </c>
      <c r="L278" s="3">
        <v>1385813</v>
      </c>
      <c r="M278" s="3">
        <v>639682</v>
      </c>
      <c r="N278" s="4">
        <v>11</v>
      </c>
    </row>
    <row r="279" spans="1:14" x14ac:dyDescent="0.25">
      <c r="A279" s="2">
        <v>2</v>
      </c>
      <c r="B279" s="1" t="s">
        <v>53</v>
      </c>
      <c r="C279" s="1" t="s">
        <v>54</v>
      </c>
      <c r="D279" s="1" t="s">
        <v>55</v>
      </c>
      <c r="E279" s="11" t="s">
        <v>42</v>
      </c>
      <c r="F279" s="12">
        <v>45689</v>
      </c>
      <c r="G279" s="1" t="s">
        <v>37</v>
      </c>
      <c r="H279" s="1" t="s">
        <v>39</v>
      </c>
      <c r="I279" s="2">
        <v>13</v>
      </c>
      <c r="J279" s="3">
        <v>93319</v>
      </c>
      <c r="K279" s="3">
        <v>1213147</v>
      </c>
      <c r="L279" s="3">
        <v>669373</v>
      </c>
      <c r="M279" s="3">
        <v>543774</v>
      </c>
      <c r="N279" s="4">
        <v>8</v>
      </c>
    </row>
    <row r="280" spans="1:14" x14ac:dyDescent="0.25">
      <c r="A280" s="2">
        <v>2</v>
      </c>
      <c r="B280" s="1" t="s">
        <v>53</v>
      </c>
      <c r="C280" s="1" t="s">
        <v>54</v>
      </c>
      <c r="D280" s="1" t="s">
        <v>55</v>
      </c>
      <c r="E280" s="11" t="s">
        <v>42</v>
      </c>
      <c r="F280" s="12">
        <v>45689</v>
      </c>
      <c r="G280" s="1" t="s">
        <v>37</v>
      </c>
      <c r="H280" s="1" t="s">
        <v>40</v>
      </c>
      <c r="I280" s="2">
        <v>1</v>
      </c>
      <c r="J280" s="3">
        <v>76942</v>
      </c>
      <c r="K280" s="3">
        <v>76942</v>
      </c>
      <c r="L280" s="3">
        <v>47536</v>
      </c>
      <c r="M280" s="3">
        <v>29406</v>
      </c>
      <c r="N280" s="4">
        <v>10</v>
      </c>
    </row>
    <row r="281" spans="1:14" x14ac:dyDescent="0.25">
      <c r="A281" s="2">
        <v>2</v>
      </c>
      <c r="B281" s="1" t="s">
        <v>53</v>
      </c>
      <c r="C281" s="1" t="s">
        <v>54</v>
      </c>
      <c r="D281" s="1" t="s">
        <v>55</v>
      </c>
      <c r="E281" s="11" t="s">
        <v>42</v>
      </c>
      <c r="F281" s="12">
        <v>45689</v>
      </c>
      <c r="G281" s="1" t="s">
        <v>37</v>
      </c>
      <c r="H281" s="1" t="s">
        <v>41</v>
      </c>
      <c r="I281" s="2">
        <v>12</v>
      </c>
      <c r="J281" s="3">
        <v>59915</v>
      </c>
      <c r="K281" s="3">
        <v>718980</v>
      </c>
      <c r="L281" s="3">
        <v>409487</v>
      </c>
      <c r="M281" s="3">
        <v>309493</v>
      </c>
      <c r="N281" s="4">
        <v>3</v>
      </c>
    </row>
    <row r="282" spans="1:14" x14ac:dyDescent="0.25">
      <c r="A282" s="2">
        <v>2</v>
      </c>
      <c r="B282" s="1" t="s">
        <v>53</v>
      </c>
      <c r="C282" s="1" t="s">
        <v>54</v>
      </c>
      <c r="D282" s="1" t="s">
        <v>55</v>
      </c>
      <c r="E282" s="11" t="s">
        <v>43</v>
      </c>
      <c r="F282" s="12">
        <v>45717</v>
      </c>
      <c r="G282" s="1" t="s">
        <v>16</v>
      </c>
      <c r="H282" s="1" t="s">
        <v>17</v>
      </c>
      <c r="I282" s="2">
        <v>5</v>
      </c>
      <c r="J282" s="3">
        <v>80279</v>
      </c>
      <c r="K282" s="3">
        <v>401395</v>
      </c>
      <c r="L282" s="3">
        <v>163330</v>
      </c>
      <c r="M282" s="3">
        <v>238065</v>
      </c>
      <c r="N282" s="4">
        <v>14</v>
      </c>
    </row>
    <row r="283" spans="1:14" x14ac:dyDescent="0.25">
      <c r="A283" s="2">
        <v>2</v>
      </c>
      <c r="B283" s="1" t="s">
        <v>53</v>
      </c>
      <c r="C283" s="1" t="s">
        <v>54</v>
      </c>
      <c r="D283" s="1" t="s">
        <v>56</v>
      </c>
      <c r="E283" s="11" t="s">
        <v>43</v>
      </c>
      <c r="F283" s="12">
        <v>45717</v>
      </c>
      <c r="G283" s="1" t="s">
        <v>16</v>
      </c>
      <c r="H283" s="1" t="s">
        <v>19</v>
      </c>
      <c r="I283" s="2">
        <v>10</v>
      </c>
      <c r="J283" s="3">
        <v>47632</v>
      </c>
      <c r="K283" s="3">
        <v>476320</v>
      </c>
      <c r="L283" s="3">
        <v>272877</v>
      </c>
      <c r="M283" s="3">
        <v>203443</v>
      </c>
      <c r="N283" s="4">
        <v>9</v>
      </c>
    </row>
    <row r="284" spans="1:14" x14ac:dyDescent="0.25">
      <c r="A284" s="2">
        <v>2</v>
      </c>
      <c r="B284" s="1" t="s">
        <v>53</v>
      </c>
      <c r="C284" s="1" t="s">
        <v>54</v>
      </c>
      <c r="D284" s="1" t="s">
        <v>56</v>
      </c>
      <c r="E284" s="11" t="s">
        <v>43</v>
      </c>
      <c r="F284" s="12">
        <v>45717</v>
      </c>
      <c r="G284" s="1" t="s">
        <v>16</v>
      </c>
      <c r="H284" s="1" t="s">
        <v>20</v>
      </c>
      <c r="I284" s="2">
        <v>9</v>
      </c>
      <c r="J284" s="3">
        <v>139797</v>
      </c>
      <c r="K284" s="3">
        <v>1258173</v>
      </c>
      <c r="L284" s="3">
        <v>532454</v>
      </c>
      <c r="M284" s="3">
        <v>725719</v>
      </c>
      <c r="N284" s="4">
        <v>13</v>
      </c>
    </row>
    <row r="285" spans="1:14" x14ac:dyDescent="0.25">
      <c r="A285" s="2">
        <v>2</v>
      </c>
      <c r="B285" s="1" t="s">
        <v>53</v>
      </c>
      <c r="C285" s="1" t="s">
        <v>54</v>
      </c>
      <c r="D285" s="1" t="s">
        <v>56</v>
      </c>
      <c r="E285" s="11" t="s">
        <v>43</v>
      </c>
      <c r="F285" s="12">
        <v>45717</v>
      </c>
      <c r="G285" s="1" t="s">
        <v>16</v>
      </c>
      <c r="H285" s="1" t="s">
        <v>21</v>
      </c>
      <c r="I285" s="2">
        <v>8</v>
      </c>
      <c r="J285" s="3">
        <v>88904</v>
      </c>
      <c r="K285" s="3">
        <v>711232</v>
      </c>
      <c r="L285" s="3">
        <v>481980</v>
      </c>
      <c r="M285" s="3">
        <v>229252</v>
      </c>
      <c r="N285" s="4">
        <v>6</v>
      </c>
    </row>
    <row r="286" spans="1:14" x14ac:dyDescent="0.25">
      <c r="A286" s="2">
        <v>2</v>
      </c>
      <c r="B286" s="1" t="s">
        <v>53</v>
      </c>
      <c r="C286" s="1" t="s">
        <v>54</v>
      </c>
      <c r="D286" s="1" t="s">
        <v>55</v>
      </c>
      <c r="E286" s="11" t="s">
        <v>43</v>
      </c>
      <c r="F286" s="12">
        <v>45717</v>
      </c>
      <c r="G286" s="1" t="s">
        <v>22</v>
      </c>
      <c r="H286" s="1" t="s">
        <v>23</v>
      </c>
      <c r="I286" s="2">
        <v>1</v>
      </c>
      <c r="J286" s="3">
        <v>96589</v>
      </c>
      <c r="K286" s="3">
        <v>96589</v>
      </c>
      <c r="L286" s="3">
        <v>45471</v>
      </c>
      <c r="M286" s="3">
        <v>51118</v>
      </c>
      <c r="N286" s="4">
        <v>9</v>
      </c>
    </row>
    <row r="287" spans="1:14" x14ac:dyDescent="0.25">
      <c r="A287" s="2">
        <v>2</v>
      </c>
      <c r="B287" s="1" t="s">
        <v>53</v>
      </c>
      <c r="C287" s="1" t="s">
        <v>54</v>
      </c>
      <c r="D287" s="1" t="s">
        <v>56</v>
      </c>
      <c r="E287" s="11" t="s">
        <v>43</v>
      </c>
      <c r="F287" s="12">
        <v>45717</v>
      </c>
      <c r="G287" s="1" t="s">
        <v>22</v>
      </c>
      <c r="H287" s="1" t="s">
        <v>24</v>
      </c>
      <c r="I287" s="2">
        <v>14</v>
      </c>
      <c r="J287" s="3">
        <v>67523</v>
      </c>
      <c r="K287" s="3">
        <v>945322</v>
      </c>
      <c r="L287" s="3">
        <v>413482</v>
      </c>
      <c r="M287" s="3">
        <v>531840</v>
      </c>
      <c r="N287" s="4">
        <v>8</v>
      </c>
    </row>
    <row r="288" spans="1:14" x14ac:dyDescent="0.25">
      <c r="A288" s="2">
        <v>2</v>
      </c>
      <c r="B288" s="1" t="s">
        <v>53</v>
      </c>
      <c r="C288" s="1" t="s">
        <v>54</v>
      </c>
      <c r="D288" s="1" t="s">
        <v>55</v>
      </c>
      <c r="E288" s="11" t="s">
        <v>43</v>
      </c>
      <c r="F288" s="12">
        <v>45717</v>
      </c>
      <c r="G288" s="1" t="s">
        <v>22</v>
      </c>
      <c r="H288" s="1" t="s">
        <v>25</v>
      </c>
      <c r="I288" s="2">
        <v>1</v>
      </c>
      <c r="J288" s="3">
        <v>120158</v>
      </c>
      <c r="K288" s="3">
        <v>120158</v>
      </c>
      <c r="L288" s="3">
        <v>59289</v>
      </c>
      <c r="M288" s="3">
        <v>60869</v>
      </c>
      <c r="N288" s="4">
        <v>2</v>
      </c>
    </row>
    <row r="289" spans="1:14" x14ac:dyDescent="0.25">
      <c r="A289" s="2">
        <v>2</v>
      </c>
      <c r="B289" s="1" t="s">
        <v>53</v>
      </c>
      <c r="C289" s="1" t="s">
        <v>54</v>
      </c>
      <c r="D289" s="1" t="s">
        <v>56</v>
      </c>
      <c r="E289" s="11" t="s">
        <v>43</v>
      </c>
      <c r="F289" s="12">
        <v>45717</v>
      </c>
      <c r="G289" s="1" t="s">
        <v>22</v>
      </c>
      <c r="H289" s="1" t="s">
        <v>26</v>
      </c>
      <c r="I289" s="2">
        <v>8</v>
      </c>
      <c r="J289" s="3">
        <v>83374</v>
      </c>
      <c r="K289" s="3">
        <v>666992</v>
      </c>
      <c r="L289" s="3">
        <v>346636</v>
      </c>
      <c r="M289" s="3">
        <v>320356</v>
      </c>
      <c r="N289" s="4">
        <v>8</v>
      </c>
    </row>
    <row r="290" spans="1:14" x14ac:dyDescent="0.25">
      <c r="A290" s="2">
        <v>2</v>
      </c>
      <c r="B290" s="1" t="s">
        <v>53</v>
      </c>
      <c r="C290" s="1" t="s">
        <v>54</v>
      </c>
      <c r="D290" s="1" t="s">
        <v>55</v>
      </c>
      <c r="E290" s="11" t="s">
        <v>43</v>
      </c>
      <c r="F290" s="12">
        <v>45717</v>
      </c>
      <c r="G290" s="1" t="s">
        <v>27</v>
      </c>
      <c r="H290" s="1" t="s">
        <v>28</v>
      </c>
      <c r="I290" s="2">
        <v>9</v>
      </c>
      <c r="J290" s="3">
        <v>77545</v>
      </c>
      <c r="K290" s="3">
        <v>697905</v>
      </c>
      <c r="L290" s="3">
        <v>447256</v>
      </c>
      <c r="M290" s="3">
        <v>250649</v>
      </c>
      <c r="N290" s="4">
        <v>4</v>
      </c>
    </row>
    <row r="291" spans="1:14" x14ac:dyDescent="0.25">
      <c r="A291" s="2">
        <v>2</v>
      </c>
      <c r="B291" s="1" t="s">
        <v>53</v>
      </c>
      <c r="C291" s="1" t="s">
        <v>54</v>
      </c>
      <c r="D291" s="1" t="s">
        <v>55</v>
      </c>
      <c r="E291" s="11" t="s">
        <v>43</v>
      </c>
      <c r="F291" s="12">
        <v>45717</v>
      </c>
      <c r="G291" s="1" t="s">
        <v>27</v>
      </c>
      <c r="H291" s="1" t="s">
        <v>29</v>
      </c>
      <c r="I291" s="2">
        <v>9</v>
      </c>
      <c r="J291" s="3">
        <v>60738</v>
      </c>
      <c r="K291" s="3">
        <v>546642</v>
      </c>
      <c r="L291" s="3">
        <v>283953</v>
      </c>
      <c r="M291" s="3">
        <v>262689</v>
      </c>
      <c r="N291" s="4">
        <v>8</v>
      </c>
    </row>
    <row r="292" spans="1:14" x14ac:dyDescent="0.25">
      <c r="A292" s="2">
        <v>2</v>
      </c>
      <c r="B292" s="1" t="s">
        <v>53</v>
      </c>
      <c r="C292" s="1" t="s">
        <v>54</v>
      </c>
      <c r="D292" s="1" t="s">
        <v>56</v>
      </c>
      <c r="E292" s="11" t="s">
        <v>43</v>
      </c>
      <c r="F292" s="12">
        <v>45717</v>
      </c>
      <c r="G292" s="1" t="s">
        <v>27</v>
      </c>
      <c r="H292" s="1" t="s">
        <v>30</v>
      </c>
      <c r="I292" s="2">
        <v>11</v>
      </c>
      <c r="J292" s="3">
        <v>93509</v>
      </c>
      <c r="K292" s="3">
        <v>1028599</v>
      </c>
      <c r="L292" s="3">
        <v>518314</v>
      </c>
      <c r="M292" s="3">
        <v>510285</v>
      </c>
      <c r="N292" s="4">
        <v>1</v>
      </c>
    </row>
    <row r="293" spans="1:14" x14ac:dyDescent="0.25">
      <c r="A293" s="2">
        <v>2</v>
      </c>
      <c r="B293" s="1" t="s">
        <v>53</v>
      </c>
      <c r="C293" s="1" t="s">
        <v>54</v>
      </c>
      <c r="D293" s="1" t="s">
        <v>56</v>
      </c>
      <c r="E293" s="11" t="s">
        <v>43</v>
      </c>
      <c r="F293" s="12">
        <v>45717</v>
      </c>
      <c r="G293" s="1" t="s">
        <v>27</v>
      </c>
      <c r="H293" s="1" t="s">
        <v>31</v>
      </c>
      <c r="I293" s="2">
        <v>2</v>
      </c>
      <c r="J293" s="3">
        <v>141178</v>
      </c>
      <c r="K293" s="3">
        <v>282356</v>
      </c>
      <c r="L293" s="3">
        <v>151248</v>
      </c>
      <c r="M293" s="3">
        <v>131108</v>
      </c>
      <c r="N293" s="4">
        <v>10</v>
      </c>
    </row>
    <row r="294" spans="1:14" x14ac:dyDescent="0.25">
      <c r="A294" s="2">
        <v>2</v>
      </c>
      <c r="B294" s="1" t="s">
        <v>53</v>
      </c>
      <c r="C294" s="1" t="s">
        <v>54</v>
      </c>
      <c r="D294" s="1" t="s">
        <v>56</v>
      </c>
      <c r="E294" s="11" t="s">
        <v>43</v>
      </c>
      <c r="F294" s="12">
        <v>45717</v>
      </c>
      <c r="G294" s="1" t="s">
        <v>32</v>
      </c>
      <c r="H294" s="1" t="s">
        <v>33</v>
      </c>
      <c r="I294" s="2">
        <v>12</v>
      </c>
      <c r="J294" s="3">
        <v>18050</v>
      </c>
      <c r="K294" s="3">
        <v>216600</v>
      </c>
      <c r="L294" s="3">
        <v>95792</v>
      </c>
      <c r="M294" s="3">
        <v>120808</v>
      </c>
      <c r="N294" s="4">
        <v>7</v>
      </c>
    </row>
    <row r="295" spans="1:14" x14ac:dyDescent="0.25">
      <c r="A295" s="2">
        <v>2</v>
      </c>
      <c r="B295" s="1" t="s">
        <v>53</v>
      </c>
      <c r="C295" s="1" t="s">
        <v>54</v>
      </c>
      <c r="D295" s="1" t="s">
        <v>56</v>
      </c>
      <c r="E295" s="11" t="s">
        <v>43</v>
      </c>
      <c r="F295" s="12">
        <v>45717</v>
      </c>
      <c r="G295" s="1" t="s">
        <v>32</v>
      </c>
      <c r="H295" s="1" t="s">
        <v>34</v>
      </c>
      <c r="I295" s="2">
        <v>7</v>
      </c>
      <c r="J295" s="3">
        <v>10299</v>
      </c>
      <c r="K295" s="3">
        <v>72093</v>
      </c>
      <c r="L295" s="3">
        <v>37897</v>
      </c>
      <c r="M295" s="3">
        <v>34196</v>
      </c>
      <c r="N295" s="4">
        <v>7</v>
      </c>
    </row>
    <row r="296" spans="1:14" x14ac:dyDescent="0.25">
      <c r="A296" s="2">
        <v>2</v>
      </c>
      <c r="B296" s="1" t="s">
        <v>53</v>
      </c>
      <c r="C296" s="1" t="s">
        <v>54</v>
      </c>
      <c r="D296" s="1" t="s">
        <v>56</v>
      </c>
      <c r="E296" s="11" t="s">
        <v>43</v>
      </c>
      <c r="F296" s="12">
        <v>45717</v>
      </c>
      <c r="G296" s="1" t="s">
        <v>32</v>
      </c>
      <c r="H296" s="1" t="s">
        <v>35</v>
      </c>
      <c r="I296" s="2">
        <v>1</v>
      </c>
      <c r="J296" s="3">
        <v>11320</v>
      </c>
      <c r="K296" s="3">
        <v>11320</v>
      </c>
      <c r="L296" s="3">
        <v>7178</v>
      </c>
      <c r="M296" s="3">
        <v>4142</v>
      </c>
      <c r="N296" s="4">
        <v>10</v>
      </c>
    </row>
    <row r="297" spans="1:14" x14ac:dyDescent="0.25">
      <c r="A297" s="2">
        <v>2</v>
      </c>
      <c r="B297" s="1" t="s">
        <v>53</v>
      </c>
      <c r="C297" s="1" t="s">
        <v>54</v>
      </c>
      <c r="D297" s="1" t="s">
        <v>55</v>
      </c>
      <c r="E297" s="11" t="s">
        <v>43</v>
      </c>
      <c r="F297" s="12">
        <v>45717</v>
      </c>
      <c r="G297" s="1" t="s">
        <v>32</v>
      </c>
      <c r="H297" s="1" t="s">
        <v>36</v>
      </c>
      <c r="I297" s="2">
        <v>18</v>
      </c>
      <c r="J297" s="3">
        <v>10588</v>
      </c>
      <c r="K297" s="3">
        <v>190584</v>
      </c>
      <c r="L297" s="3">
        <v>105688</v>
      </c>
      <c r="M297" s="3">
        <v>84896</v>
      </c>
      <c r="N297" s="4">
        <v>0</v>
      </c>
    </row>
    <row r="298" spans="1:14" x14ac:dyDescent="0.25">
      <c r="A298" s="2">
        <v>2</v>
      </c>
      <c r="B298" s="1" t="s">
        <v>53</v>
      </c>
      <c r="C298" s="1" t="s">
        <v>54</v>
      </c>
      <c r="D298" s="1" t="s">
        <v>56</v>
      </c>
      <c r="E298" s="11" t="s">
        <v>43</v>
      </c>
      <c r="F298" s="12">
        <v>45717</v>
      </c>
      <c r="G298" s="1" t="s">
        <v>37</v>
      </c>
      <c r="H298" s="1" t="s">
        <v>38</v>
      </c>
      <c r="I298" s="2">
        <v>9</v>
      </c>
      <c r="J298" s="3">
        <v>69840</v>
      </c>
      <c r="K298" s="3">
        <v>628560</v>
      </c>
      <c r="L298" s="3">
        <v>356513</v>
      </c>
      <c r="M298" s="3">
        <v>272047</v>
      </c>
      <c r="N298" s="4">
        <v>5</v>
      </c>
    </row>
    <row r="299" spans="1:14" x14ac:dyDescent="0.25">
      <c r="A299" s="2">
        <v>2</v>
      </c>
      <c r="B299" s="1" t="s">
        <v>53</v>
      </c>
      <c r="C299" s="1" t="s">
        <v>54</v>
      </c>
      <c r="D299" s="1" t="s">
        <v>56</v>
      </c>
      <c r="E299" s="11" t="s">
        <v>43</v>
      </c>
      <c r="F299" s="12">
        <v>45717</v>
      </c>
      <c r="G299" s="1" t="s">
        <v>37</v>
      </c>
      <c r="H299" s="1" t="s">
        <v>39</v>
      </c>
      <c r="I299" s="2">
        <v>8</v>
      </c>
      <c r="J299" s="3">
        <v>141392</v>
      </c>
      <c r="K299" s="3">
        <v>1131136</v>
      </c>
      <c r="L299" s="3">
        <v>554119</v>
      </c>
      <c r="M299" s="3">
        <v>577017</v>
      </c>
      <c r="N299" s="4">
        <v>12</v>
      </c>
    </row>
    <row r="300" spans="1:14" x14ac:dyDescent="0.25">
      <c r="A300" s="2">
        <v>2</v>
      </c>
      <c r="B300" s="1" t="s">
        <v>53</v>
      </c>
      <c r="C300" s="1" t="s">
        <v>54</v>
      </c>
      <c r="D300" s="1" t="s">
        <v>56</v>
      </c>
      <c r="E300" s="11" t="s">
        <v>43</v>
      </c>
      <c r="F300" s="12">
        <v>45717</v>
      </c>
      <c r="G300" s="1" t="s">
        <v>37</v>
      </c>
      <c r="H300" s="1" t="s">
        <v>40</v>
      </c>
      <c r="I300" s="2">
        <v>19</v>
      </c>
      <c r="J300" s="3">
        <v>44442</v>
      </c>
      <c r="K300" s="3">
        <v>844398</v>
      </c>
      <c r="L300" s="3">
        <v>540359</v>
      </c>
      <c r="M300" s="3">
        <v>304039</v>
      </c>
      <c r="N300" s="4">
        <v>13</v>
      </c>
    </row>
    <row r="301" spans="1:14" x14ac:dyDescent="0.25">
      <c r="A301" s="2">
        <v>2</v>
      </c>
      <c r="B301" s="1" t="s">
        <v>53</v>
      </c>
      <c r="C301" s="1" t="s">
        <v>54</v>
      </c>
      <c r="D301" s="1" t="s">
        <v>55</v>
      </c>
      <c r="E301" s="11" t="s">
        <v>43</v>
      </c>
      <c r="F301" s="12">
        <v>45717</v>
      </c>
      <c r="G301" s="1" t="s">
        <v>37</v>
      </c>
      <c r="H301" s="1" t="s">
        <v>41</v>
      </c>
      <c r="I301" s="2">
        <v>17</v>
      </c>
      <c r="J301" s="3">
        <v>106444</v>
      </c>
      <c r="K301" s="3">
        <v>1809548</v>
      </c>
      <c r="L301" s="3">
        <v>928873</v>
      </c>
      <c r="M301" s="3">
        <v>880675</v>
      </c>
      <c r="N301" s="4">
        <v>7</v>
      </c>
    </row>
    <row r="302" spans="1:14" x14ac:dyDescent="0.25">
      <c r="A302" s="2">
        <v>2</v>
      </c>
      <c r="B302" s="1" t="s">
        <v>53</v>
      </c>
      <c r="C302" s="1" t="s">
        <v>54</v>
      </c>
      <c r="D302" s="1" t="s">
        <v>55</v>
      </c>
      <c r="E302" s="11" t="s">
        <v>44</v>
      </c>
      <c r="F302" s="12">
        <v>45748</v>
      </c>
      <c r="G302" s="1" t="s">
        <v>16</v>
      </c>
      <c r="H302" s="1" t="s">
        <v>17</v>
      </c>
      <c r="I302" s="2">
        <v>19</v>
      </c>
      <c r="J302" s="3">
        <v>38449</v>
      </c>
      <c r="K302" s="3">
        <v>730531</v>
      </c>
      <c r="L302" s="3">
        <v>356655</v>
      </c>
      <c r="M302" s="3">
        <v>373876</v>
      </c>
      <c r="N302" s="4">
        <v>2</v>
      </c>
    </row>
    <row r="303" spans="1:14" x14ac:dyDescent="0.25">
      <c r="A303" s="2">
        <v>2</v>
      </c>
      <c r="B303" s="1" t="s">
        <v>53</v>
      </c>
      <c r="C303" s="1" t="s">
        <v>54</v>
      </c>
      <c r="D303" s="1" t="s">
        <v>56</v>
      </c>
      <c r="E303" s="11" t="s">
        <v>44</v>
      </c>
      <c r="F303" s="12">
        <v>45748</v>
      </c>
      <c r="G303" s="1" t="s">
        <v>16</v>
      </c>
      <c r="H303" s="1" t="s">
        <v>19</v>
      </c>
      <c r="I303" s="2">
        <v>15</v>
      </c>
      <c r="J303" s="3">
        <v>145937</v>
      </c>
      <c r="K303" s="3">
        <v>2189055</v>
      </c>
      <c r="L303" s="3">
        <v>1219997</v>
      </c>
      <c r="M303" s="3">
        <v>969058</v>
      </c>
      <c r="N303" s="4">
        <v>11</v>
      </c>
    </row>
    <row r="304" spans="1:14" x14ac:dyDescent="0.25">
      <c r="A304" s="2">
        <v>2</v>
      </c>
      <c r="B304" s="1" t="s">
        <v>53</v>
      </c>
      <c r="C304" s="1" t="s">
        <v>54</v>
      </c>
      <c r="D304" s="1" t="s">
        <v>55</v>
      </c>
      <c r="E304" s="11" t="s">
        <v>44</v>
      </c>
      <c r="F304" s="12">
        <v>45748</v>
      </c>
      <c r="G304" s="1" t="s">
        <v>16</v>
      </c>
      <c r="H304" s="1" t="s">
        <v>20</v>
      </c>
      <c r="I304" s="2">
        <v>17</v>
      </c>
      <c r="J304" s="3">
        <v>46737</v>
      </c>
      <c r="K304" s="3">
        <v>794529</v>
      </c>
      <c r="L304" s="3">
        <v>436278</v>
      </c>
      <c r="M304" s="3">
        <v>358251</v>
      </c>
      <c r="N304" s="4">
        <v>2</v>
      </c>
    </row>
    <row r="305" spans="1:14" x14ac:dyDescent="0.25">
      <c r="A305" s="2">
        <v>2</v>
      </c>
      <c r="B305" s="1" t="s">
        <v>53</v>
      </c>
      <c r="C305" s="1" t="s">
        <v>54</v>
      </c>
      <c r="D305" s="1" t="s">
        <v>56</v>
      </c>
      <c r="E305" s="11" t="s">
        <v>44</v>
      </c>
      <c r="F305" s="12">
        <v>45748</v>
      </c>
      <c r="G305" s="1" t="s">
        <v>16</v>
      </c>
      <c r="H305" s="1" t="s">
        <v>21</v>
      </c>
      <c r="I305" s="2">
        <v>4</v>
      </c>
      <c r="J305" s="3">
        <v>75168</v>
      </c>
      <c r="K305" s="3">
        <v>300672</v>
      </c>
      <c r="L305" s="3">
        <v>150428</v>
      </c>
      <c r="M305" s="3">
        <v>150244</v>
      </c>
      <c r="N305" s="4">
        <v>6</v>
      </c>
    </row>
    <row r="306" spans="1:14" x14ac:dyDescent="0.25">
      <c r="A306" s="2">
        <v>2</v>
      </c>
      <c r="B306" s="1" t="s">
        <v>53</v>
      </c>
      <c r="C306" s="1" t="s">
        <v>54</v>
      </c>
      <c r="D306" s="1" t="s">
        <v>55</v>
      </c>
      <c r="E306" s="11" t="s">
        <v>44</v>
      </c>
      <c r="F306" s="12">
        <v>45748</v>
      </c>
      <c r="G306" s="1" t="s">
        <v>22</v>
      </c>
      <c r="H306" s="1" t="s">
        <v>23</v>
      </c>
      <c r="I306" s="2">
        <v>7</v>
      </c>
      <c r="J306" s="3">
        <v>68770</v>
      </c>
      <c r="K306" s="3">
        <v>481390</v>
      </c>
      <c r="L306" s="3">
        <v>246468</v>
      </c>
      <c r="M306" s="3">
        <v>234922</v>
      </c>
      <c r="N306" s="4">
        <v>9</v>
      </c>
    </row>
    <row r="307" spans="1:14" x14ac:dyDescent="0.25">
      <c r="A307" s="2">
        <v>2</v>
      </c>
      <c r="B307" s="1" t="s">
        <v>53</v>
      </c>
      <c r="C307" s="1" t="s">
        <v>54</v>
      </c>
      <c r="D307" s="1" t="s">
        <v>56</v>
      </c>
      <c r="E307" s="11" t="s">
        <v>44</v>
      </c>
      <c r="F307" s="12">
        <v>45748</v>
      </c>
      <c r="G307" s="1" t="s">
        <v>22</v>
      </c>
      <c r="H307" s="1" t="s">
        <v>24</v>
      </c>
      <c r="I307" s="2">
        <v>19</v>
      </c>
      <c r="J307" s="3">
        <v>95629</v>
      </c>
      <c r="K307" s="3">
        <v>1816951</v>
      </c>
      <c r="L307" s="3">
        <v>1013810</v>
      </c>
      <c r="M307" s="3">
        <v>803141</v>
      </c>
      <c r="N307" s="4">
        <v>0</v>
      </c>
    </row>
    <row r="308" spans="1:14" x14ac:dyDescent="0.25">
      <c r="A308" s="2">
        <v>2</v>
      </c>
      <c r="B308" s="1" t="s">
        <v>53</v>
      </c>
      <c r="C308" s="1" t="s">
        <v>54</v>
      </c>
      <c r="D308" s="1" t="s">
        <v>55</v>
      </c>
      <c r="E308" s="11" t="s">
        <v>44</v>
      </c>
      <c r="F308" s="12">
        <v>45748</v>
      </c>
      <c r="G308" s="1" t="s">
        <v>22</v>
      </c>
      <c r="H308" s="1" t="s">
        <v>25</v>
      </c>
      <c r="I308" s="2">
        <v>18</v>
      </c>
      <c r="J308" s="3">
        <v>105382</v>
      </c>
      <c r="K308" s="3">
        <v>1896876</v>
      </c>
      <c r="L308" s="3">
        <v>1133719</v>
      </c>
      <c r="M308" s="3">
        <v>763157</v>
      </c>
      <c r="N308" s="4">
        <v>0</v>
      </c>
    </row>
    <row r="309" spans="1:14" x14ac:dyDescent="0.25">
      <c r="A309" s="2">
        <v>2</v>
      </c>
      <c r="B309" s="1" t="s">
        <v>53</v>
      </c>
      <c r="C309" s="1" t="s">
        <v>54</v>
      </c>
      <c r="D309" s="1" t="s">
        <v>55</v>
      </c>
      <c r="E309" s="11" t="s">
        <v>44</v>
      </c>
      <c r="F309" s="12">
        <v>45748</v>
      </c>
      <c r="G309" s="1" t="s">
        <v>22</v>
      </c>
      <c r="H309" s="1" t="s">
        <v>26</v>
      </c>
      <c r="I309" s="2">
        <v>3</v>
      </c>
      <c r="J309" s="3">
        <v>132599</v>
      </c>
      <c r="K309" s="3">
        <v>397797</v>
      </c>
      <c r="L309" s="3">
        <v>182522</v>
      </c>
      <c r="M309" s="3">
        <v>215275</v>
      </c>
      <c r="N309" s="4">
        <v>14</v>
      </c>
    </row>
    <row r="310" spans="1:14" x14ac:dyDescent="0.25">
      <c r="A310" s="2">
        <v>2</v>
      </c>
      <c r="B310" s="1" t="s">
        <v>53</v>
      </c>
      <c r="C310" s="1" t="s">
        <v>54</v>
      </c>
      <c r="D310" s="1" t="s">
        <v>56</v>
      </c>
      <c r="E310" s="11" t="s">
        <v>44</v>
      </c>
      <c r="F310" s="12">
        <v>45748</v>
      </c>
      <c r="G310" s="1" t="s">
        <v>27</v>
      </c>
      <c r="H310" s="1" t="s">
        <v>28</v>
      </c>
      <c r="I310" s="2">
        <v>8</v>
      </c>
      <c r="J310" s="3">
        <v>76373</v>
      </c>
      <c r="K310" s="3">
        <v>610984</v>
      </c>
      <c r="L310" s="3">
        <v>306580</v>
      </c>
      <c r="M310" s="3">
        <v>304404</v>
      </c>
      <c r="N310" s="4">
        <v>4</v>
      </c>
    </row>
    <row r="311" spans="1:14" x14ac:dyDescent="0.25">
      <c r="A311" s="2">
        <v>2</v>
      </c>
      <c r="B311" s="1" t="s">
        <v>53</v>
      </c>
      <c r="C311" s="1" t="s">
        <v>54</v>
      </c>
      <c r="D311" s="1" t="s">
        <v>55</v>
      </c>
      <c r="E311" s="11" t="s">
        <v>44</v>
      </c>
      <c r="F311" s="12">
        <v>45748</v>
      </c>
      <c r="G311" s="1" t="s">
        <v>27</v>
      </c>
      <c r="H311" s="1" t="s">
        <v>29</v>
      </c>
      <c r="I311" s="2">
        <v>3</v>
      </c>
      <c r="J311" s="3">
        <v>59986</v>
      </c>
      <c r="K311" s="3">
        <v>179958</v>
      </c>
      <c r="L311" s="3">
        <v>107223</v>
      </c>
      <c r="M311" s="3">
        <v>72735</v>
      </c>
      <c r="N311" s="4">
        <v>14</v>
      </c>
    </row>
    <row r="312" spans="1:14" x14ac:dyDescent="0.25">
      <c r="A312" s="2">
        <v>2</v>
      </c>
      <c r="B312" s="1" t="s">
        <v>53</v>
      </c>
      <c r="C312" s="1" t="s">
        <v>54</v>
      </c>
      <c r="D312" s="1" t="s">
        <v>56</v>
      </c>
      <c r="E312" s="11" t="s">
        <v>44</v>
      </c>
      <c r="F312" s="12">
        <v>45748</v>
      </c>
      <c r="G312" s="1" t="s">
        <v>27</v>
      </c>
      <c r="H312" s="1" t="s">
        <v>30</v>
      </c>
      <c r="I312" s="2">
        <v>8</v>
      </c>
      <c r="J312" s="3">
        <v>84929</v>
      </c>
      <c r="K312" s="3">
        <v>679432</v>
      </c>
      <c r="L312" s="3">
        <v>435919</v>
      </c>
      <c r="M312" s="3">
        <v>243513</v>
      </c>
      <c r="N312" s="4">
        <v>7</v>
      </c>
    </row>
    <row r="313" spans="1:14" x14ac:dyDescent="0.25">
      <c r="A313" s="2">
        <v>2</v>
      </c>
      <c r="B313" s="1" t="s">
        <v>53</v>
      </c>
      <c r="C313" s="1" t="s">
        <v>54</v>
      </c>
      <c r="D313" s="1" t="s">
        <v>55</v>
      </c>
      <c r="E313" s="11" t="s">
        <v>44</v>
      </c>
      <c r="F313" s="12">
        <v>45748</v>
      </c>
      <c r="G313" s="1" t="s">
        <v>27</v>
      </c>
      <c r="H313" s="1" t="s">
        <v>31</v>
      </c>
      <c r="I313" s="2">
        <v>14</v>
      </c>
      <c r="J313" s="3">
        <v>95039</v>
      </c>
      <c r="K313" s="3">
        <v>1330546</v>
      </c>
      <c r="L313" s="3">
        <v>873781</v>
      </c>
      <c r="M313" s="3">
        <v>456765</v>
      </c>
      <c r="N313" s="4">
        <v>10</v>
      </c>
    </row>
    <row r="314" spans="1:14" x14ac:dyDescent="0.25">
      <c r="A314" s="2">
        <v>2</v>
      </c>
      <c r="B314" s="1" t="s">
        <v>53</v>
      </c>
      <c r="C314" s="1" t="s">
        <v>54</v>
      </c>
      <c r="D314" s="1" t="s">
        <v>55</v>
      </c>
      <c r="E314" s="11" t="s">
        <v>44</v>
      </c>
      <c r="F314" s="12">
        <v>45748</v>
      </c>
      <c r="G314" s="1" t="s">
        <v>32</v>
      </c>
      <c r="H314" s="1" t="s">
        <v>33</v>
      </c>
      <c r="I314" s="2">
        <v>16</v>
      </c>
      <c r="J314" s="3">
        <v>9547</v>
      </c>
      <c r="K314" s="3">
        <v>152752</v>
      </c>
      <c r="L314" s="3">
        <v>104378</v>
      </c>
      <c r="M314" s="3">
        <v>48374</v>
      </c>
      <c r="N314" s="4">
        <v>5</v>
      </c>
    </row>
    <row r="315" spans="1:14" x14ac:dyDescent="0.25">
      <c r="A315" s="2">
        <v>2</v>
      </c>
      <c r="B315" s="1" t="s">
        <v>53</v>
      </c>
      <c r="C315" s="1" t="s">
        <v>54</v>
      </c>
      <c r="D315" s="1" t="s">
        <v>55</v>
      </c>
      <c r="E315" s="11" t="s">
        <v>44</v>
      </c>
      <c r="F315" s="12">
        <v>45748</v>
      </c>
      <c r="G315" s="1" t="s">
        <v>32</v>
      </c>
      <c r="H315" s="1" t="s">
        <v>34</v>
      </c>
      <c r="I315" s="2">
        <v>14</v>
      </c>
      <c r="J315" s="3">
        <v>5822</v>
      </c>
      <c r="K315" s="3">
        <v>81508</v>
      </c>
      <c r="L315" s="3">
        <v>54520</v>
      </c>
      <c r="M315" s="3">
        <v>26988</v>
      </c>
      <c r="N315" s="4">
        <v>6</v>
      </c>
    </row>
    <row r="316" spans="1:14" x14ac:dyDescent="0.25">
      <c r="A316" s="2">
        <v>2</v>
      </c>
      <c r="B316" s="1" t="s">
        <v>53</v>
      </c>
      <c r="C316" s="1" t="s">
        <v>54</v>
      </c>
      <c r="D316" s="1" t="s">
        <v>55</v>
      </c>
      <c r="E316" s="11" t="s">
        <v>44</v>
      </c>
      <c r="F316" s="12">
        <v>45748</v>
      </c>
      <c r="G316" s="1" t="s">
        <v>32</v>
      </c>
      <c r="H316" s="1" t="s">
        <v>35</v>
      </c>
      <c r="I316" s="2">
        <v>10</v>
      </c>
      <c r="J316" s="3">
        <v>13966</v>
      </c>
      <c r="K316" s="3">
        <v>139660</v>
      </c>
      <c r="L316" s="3">
        <v>86696</v>
      </c>
      <c r="M316" s="3">
        <v>52964</v>
      </c>
      <c r="N316" s="4">
        <v>4</v>
      </c>
    </row>
    <row r="317" spans="1:14" x14ac:dyDescent="0.25">
      <c r="A317" s="2">
        <v>2</v>
      </c>
      <c r="B317" s="1" t="s">
        <v>53</v>
      </c>
      <c r="C317" s="1" t="s">
        <v>54</v>
      </c>
      <c r="D317" s="1" t="s">
        <v>56</v>
      </c>
      <c r="E317" s="11" t="s">
        <v>44</v>
      </c>
      <c r="F317" s="12">
        <v>45748</v>
      </c>
      <c r="G317" s="1" t="s">
        <v>32</v>
      </c>
      <c r="H317" s="1" t="s">
        <v>36</v>
      </c>
      <c r="I317" s="2">
        <v>19</v>
      </c>
      <c r="J317" s="3">
        <v>8695</v>
      </c>
      <c r="K317" s="3">
        <v>165205</v>
      </c>
      <c r="L317" s="3">
        <v>75074</v>
      </c>
      <c r="M317" s="3">
        <v>90131</v>
      </c>
      <c r="N317" s="4">
        <v>3</v>
      </c>
    </row>
    <row r="318" spans="1:14" x14ac:dyDescent="0.25">
      <c r="A318" s="2">
        <v>2</v>
      </c>
      <c r="B318" s="1" t="s">
        <v>53</v>
      </c>
      <c r="C318" s="1" t="s">
        <v>54</v>
      </c>
      <c r="D318" s="1" t="s">
        <v>55</v>
      </c>
      <c r="E318" s="11" t="s">
        <v>44</v>
      </c>
      <c r="F318" s="12">
        <v>45748</v>
      </c>
      <c r="G318" s="1" t="s">
        <v>37</v>
      </c>
      <c r="H318" s="1" t="s">
        <v>38</v>
      </c>
      <c r="I318" s="2">
        <v>18</v>
      </c>
      <c r="J318" s="3">
        <v>28705</v>
      </c>
      <c r="K318" s="3">
        <v>516690</v>
      </c>
      <c r="L318" s="3">
        <v>347829</v>
      </c>
      <c r="M318" s="3">
        <v>168861</v>
      </c>
      <c r="N318" s="4">
        <v>4</v>
      </c>
    </row>
    <row r="319" spans="1:14" x14ac:dyDescent="0.25">
      <c r="A319" s="2">
        <v>2</v>
      </c>
      <c r="B319" s="1" t="s">
        <v>53</v>
      </c>
      <c r="C319" s="1" t="s">
        <v>54</v>
      </c>
      <c r="D319" s="1" t="s">
        <v>56</v>
      </c>
      <c r="E319" s="11" t="s">
        <v>44</v>
      </c>
      <c r="F319" s="12">
        <v>45748</v>
      </c>
      <c r="G319" s="1" t="s">
        <v>37</v>
      </c>
      <c r="H319" s="1" t="s">
        <v>39</v>
      </c>
      <c r="I319" s="2">
        <v>11</v>
      </c>
      <c r="J319" s="3">
        <v>123145</v>
      </c>
      <c r="K319" s="3">
        <v>1354595</v>
      </c>
      <c r="L319" s="3">
        <v>877143</v>
      </c>
      <c r="M319" s="3">
        <v>477452</v>
      </c>
      <c r="N319" s="4">
        <v>2</v>
      </c>
    </row>
    <row r="320" spans="1:14" x14ac:dyDescent="0.25">
      <c r="A320" s="2">
        <v>2</v>
      </c>
      <c r="B320" s="1" t="s">
        <v>53</v>
      </c>
      <c r="C320" s="1" t="s">
        <v>54</v>
      </c>
      <c r="D320" s="1" t="s">
        <v>55</v>
      </c>
      <c r="E320" s="11" t="s">
        <v>44</v>
      </c>
      <c r="F320" s="12">
        <v>45748</v>
      </c>
      <c r="G320" s="1" t="s">
        <v>37</v>
      </c>
      <c r="H320" s="1" t="s">
        <v>40</v>
      </c>
      <c r="I320" s="2">
        <v>12</v>
      </c>
      <c r="J320" s="3">
        <v>136243</v>
      </c>
      <c r="K320" s="3">
        <v>1634916</v>
      </c>
      <c r="L320" s="3">
        <v>960095</v>
      </c>
      <c r="M320" s="3">
        <v>674821</v>
      </c>
      <c r="N320" s="4">
        <v>5</v>
      </c>
    </row>
    <row r="321" spans="1:14" x14ac:dyDescent="0.25">
      <c r="A321" s="2">
        <v>2</v>
      </c>
      <c r="B321" s="1" t="s">
        <v>53</v>
      </c>
      <c r="C321" s="1" t="s">
        <v>54</v>
      </c>
      <c r="D321" s="1" t="s">
        <v>55</v>
      </c>
      <c r="E321" s="11" t="s">
        <v>44</v>
      </c>
      <c r="F321" s="12">
        <v>45748</v>
      </c>
      <c r="G321" s="1" t="s">
        <v>37</v>
      </c>
      <c r="H321" s="1" t="s">
        <v>41</v>
      </c>
      <c r="I321" s="2">
        <v>9</v>
      </c>
      <c r="J321" s="3">
        <v>82516</v>
      </c>
      <c r="K321" s="3">
        <v>742644</v>
      </c>
      <c r="L321" s="3">
        <v>362662</v>
      </c>
      <c r="M321" s="3">
        <v>379982</v>
      </c>
      <c r="N321" s="4">
        <v>3</v>
      </c>
    </row>
    <row r="322" spans="1:14" x14ac:dyDescent="0.25">
      <c r="A322" s="2">
        <v>2</v>
      </c>
      <c r="B322" s="1" t="s">
        <v>53</v>
      </c>
      <c r="C322" s="1" t="s">
        <v>54</v>
      </c>
      <c r="D322" s="1" t="s">
        <v>56</v>
      </c>
      <c r="E322" s="11" t="s">
        <v>45</v>
      </c>
      <c r="F322" s="12">
        <v>45778</v>
      </c>
      <c r="G322" s="1" t="s">
        <v>16</v>
      </c>
      <c r="H322" s="1" t="s">
        <v>17</v>
      </c>
      <c r="I322" s="2">
        <v>12</v>
      </c>
      <c r="J322" s="3">
        <v>49975</v>
      </c>
      <c r="K322" s="3">
        <v>599700</v>
      </c>
      <c r="L322" s="3">
        <v>260432</v>
      </c>
      <c r="M322" s="3">
        <v>339268</v>
      </c>
      <c r="N322" s="4">
        <v>13</v>
      </c>
    </row>
    <row r="323" spans="1:14" x14ac:dyDescent="0.25">
      <c r="A323" s="2">
        <v>2</v>
      </c>
      <c r="B323" s="1" t="s">
        <v>53</v>
      </c>
      <c r="C323" s="1" t="s">
        <v>54</v>
      </c>
      <c r="D323" s="1" t="s">
        <v>55</v>
      </c>
      <c r="E323" s="11" t="s">
        <v>45</v>
      </c>
      <c r="F323" s="12">
        <v>45778</v>
      </c>
      <c r="G323" s="1" t="s">
        <v>16</v>
      </c>
      <c r="H323" s="1" t="s">
        <v>19</v>
      </c>
      <c r="I323" s="2">
        <v>14</v>
      </c>
      <c r="J323" s="3">
        <v>134390</v>
      </c>
      <c r="K323" s="3">
        <v>1881460</v>
      </c>
      <c r="L323" s="3">
        <v>1204052</v>
      </c>
      <c r="M323" s="3">
        <v>677408</v>
      </c>
      <c r="N323" s="4">
        <v>0</v>
      </c>
    </row>
    <row r="324" spans="1:14" x14ac:dyDescent="0.25">
      <c r="A324" s="2">
        <v>2</v>
      </c>
      <c r="B324" s="1" t="s">
        <v>53</v>
      </c>
      <c r="C324" s="1" t="s">
        <v>54</v>
      </c>
      <c r="D324" s="1" t="s">
        <v>56</v>
      </c>
      <c r="E324" s="11" t="s">
        <v>45</v>
      </c>
      <c r="F324" s="12">
        <v>45778</v>
      </c>
      <c r="G324" s="1" t="s">
        <v>16</v>
      </c>
      <c r="H324" s="1" t="s">
        <v>20</v>
      </c>
      <c r="I324" s="2">
        <v>18</v>
      </c>
      <c r="J324" s="3">
        <v>55954</v>
      </c>
      <c r="K324" s="3">
        <v>1007172</v>
      </c>
      <c r="L324" s="3">
        <v>557708</v>
      </c>
      <c r="M324" s="3">
        <v>449464</v>
      </c>
      <c r="N324" s="4">
        <v>8</v>
      </c>
    </row>
    <row r="325" spans="1:14" x14ac:dyDescent="0.25">
      <c r="A325" s="2">
        <v>2</v>
      </c>
      <c r="B325" s="1" t="s">
        <v>53</v>
      </c>
      <c r="C325" s="1" t="s">
        <v>54</v>
      </c>
      <c r="D325" s="1" t="s">
        <v>55</v>
      </c>
      <c r="E325" s="11" t="s">
        <v>45</v>
      </c>
      <c r="F325" s="12">
        <v>45778</v>
      </c>
      <c r="G325" s="1" t="s">
        <v>16</v>
      </c>
      <c r="H325" s="1" t="s">
        <v>21</v>
      </c>
      <c r="I325" s="2">
        <v>8</v>
      </c>
      <c r="J325" s="3">
        <v>122337</v>
      </c>
      <c r="K325" s="3">
        <v>978696</v>
      </c>
      <c r="L325" s="3">
        <v>577473</v>
      </c>
      <c r="M325" s="3">
        <v>401223</v>
      </c>
      <c r="N325" s="4">
        <v>6</v>
      </c>
    </row>
    <row r="326" spans="1:14" x14ac:dyDescent="0.25">
      <c r="A326" s="2">
        <v>2</v>
      </c>
      <c r="B326" s="1" t="s">
        <v>53</v>
      </c>
      <c r="C326" s="1" t="s">
        <v>54</v>
      </c>
      <c r="D326" s="1" t="s">
        <v>55</v>
      </c>
      <c r="E326" s="11" t="s">
        <v>45</v>
      </c>
      <c r="F326" s="12">
        <v>45778</v>
      </c>
      <c r="G326" s="1" t="s">
        <v>22</v>
      </c>
      <c r="H326" s="1" t="s">
        <v>23</v>
      </c>
      <c r="I326" s="2">
        <v>9</v>
      </c>
      <c r="J326" s="3">
        <v>75029</v>
      </c>
      <c r="K326" s="3">
        <v>675261</v>
      </c>
      <c r="L326" s="3">
        <v>400778</v>
      </c>
      <c r="M326" s="3">
        <v>274483</v>
      </c>
      <c r="N326" s="4">
        <v>13</v>
      </c>
    </row>
    <row r="327" spans="1:14" x14ac:dyDescent="0.25">
      <c r="A327" s="2">
        <v>2</v>
      </c>
      <c r="B327" s="1" t="s">
        <v>53</v>
      </c>
      <c r="C327" s="1" t="s">
        <v>54</v>
      </c>
      <c r="D327" s="1" t="s">
        <v>56</v>
      </c>
      <c r="E327" s="11" t="s">
        <v>45</v>
      </c>
      <c r="F327" s="12">
        <v>45778</v>
      </c>
      <c r="G327" s="1" t="s">
        <v>22</v>
      </c>
      <c r="H327" s="1" t="s">
        <v>24</v>
      </c>
      <c r="I327" s="2">
        <v>4</v>
      </c>
      <c r="J327" s="3">
        <v>75961</v>
      </c>
      <c r="K327" s="3">
        <v>303844</v>
      </c>
      <c r="L327" s="3">
        <v>169455</v>
      </c>
      <c r="M327" s="3">
        <v>134389</v>
      </c>
      <c r="N327" s="4">
        <v>12</v>
      </c>
    </row>
    <row r="328" spans="1:14" x14ac:dyDescent="0.25">
      <c r="A328" s="2">
        <v>2</v>
      </c>
      <c r="B328" s="1" t="s">
        <v>53</v>
      </c>
      <c r="C328" s="1" t="s">
        <v>54</v>
      </c>
      <c r="D328" s="1" t="s">
        <v>55</v>
      </c>
      <c r="E328" s="11" t="s">
        <v>45</v>
      </c>
      <c r="F328" s="12">
        <v>45778</v>
      </c>
      <c r="G328" s="1" t="s">
        <v>22</v>
      </c>
      <c r="H328" s="1" t="s">
        <v>25</v>
      </c>
      <c r="I328" s="2">
        <v>2</v>
      </c>
      <c r="J328" s="3">
        <v>146678</v>
      </c>
      <c r="K328" s="3">
        <v>293356</v>
      </c>
      <c r="L328" s="3">
        <v>177467</v>
      </c>
      <c r="M328" s="3">
        <v>115889</v>
      </c>
      <c r="N328" s="4">
        <v>5</v>
      </c>
    </row>
    <row r="329" spans="1:14" x14ac:dyDescent="0.25">
      <c r="A329" s="2">
        <v>2</v>
      </c>
      <c r="B329" s="1" t="s">
        <v>53</v>
      </c>
      <c r="C329" s="1" t="s">
        <v>54</v>
      </c>
      <c r="D329" s="1" t="s">
        <v>56</v>
      </c>
      <c r="E329" s="11" t="s">
        <v>45</v>
      </c>
      <c r="F329" s="12">
        <v>45778</v>
      </c>
      <c r="G329" s="1" t="s">
        <v>22</v>
      </c>
      <c r="H329" s="1" t="s">
        <v>26</v>
      </c>
      <c r="I329" s="2">
        <v>18</v>
      </c>
      <c r="J329" s="3">
        <v>145055</v>
      </c>
      <c r="K329" s="3">
        <v>2610990</v>
      </c>
      <c r="L329" s="3">
        <v>1136630</v>
      </c>
      <c r="M329" s="3">
        <v>1474360</v>
      </c>
      <c r="N329" s="4">
        <v>3</v>
      </c>
    </row>
    <row r="330" spans="1:14" x14ac:dyDescent="0.25">
      <c r="A330" s="2">
        <v>2</v>
      </c>
      <c r="B330" s="1" t="s">
        <v>53</v>
      </c>
      <c r="C330" s="1" t="s">
        <v>54</v>
      </c>
      <c r="D330" s="1" t="s">
        <v>56</v>
      </c>
      <c r="E330" s="11" t="s">
        <v>45</v>
      </c>
      <c r="F330" s="12">
        <v>45778</v>
      </c>
      <c r="G330" s="1" t="s">
        <v>27</v>
      </c>
      <c r="H330" s="1" t="s">
        <v>28</v>
      </c>
      <c r="I330" s="2">
        <v>9</v>
      </c>
      <c r="J330" s="3">
        <v>51653</v>
      </c>
      <c r="K330" s="3">
        <v>464877</v>
      </c>
      <c r="L330" s="3">
        <v>195319</v>
      </c>
      <c r="M330" s="3">
        <v>269558</v>
      </c>
      <c r="N330" s="4">
        <v>4</v>
      </c>
    </row>
    <row r="331" spans="1:14" x14ac:dyDescent="0.25">
      <c r="A331" s="2">
        <v>2</v>
      </c>
      <c r="B331" s="1" t="s">
        <v>53</v>
      </c>
      <c r="C331" s="1" t="s">
        <v>54</v>
      </c>
      <c r="D331" s="1" t="s">
        <v>56</v>
      </c>
      <c r="E331" s="11" t="s">
        <v>45</v>
      </c>
      <c r="F331" s="12">
        <v>45778</v>
      </c>
      <c r="G331" s="1" t="s">
        <v>27</v>
      </c>
      <c r="H331" s="1" t="s">
        <v>29</v>
      </c>
      <c r="I331" s="2">
        <v>6</v>
      </c>
      <c r="J331" s="3">
        <v>148377</v>
      </c>
      <c r="K331" s="3">
        <v>890262</v>
      </c>
      <c r="L331" s="3">
        <v>548455</v>
      </c>
      <c r="M331" s="3">
        <v>341807</v>
      </c>
      <c r="N331" s="4">
        <v>4</v>
      </c>
    </row>
    <row r="332" spans="1:14" x14ac:dyDescent="0.25">
      <c r="A332" s="2">
        <v>2</v>
      </c>
      <c r="B332" s="1" t="s">
        <v>53</v>
      </c>
      <c r="C332" s="1" t="s">
        <v>54</v>
      </c>
      <c r="D332" s="1" t="s">
        <v>55</v>
      </c>
      <c r="E332" s="11" t="s">
        <v>45</v>
      </c>
      <c r="F332" s="12">
        <v>45778</v>
      </c>
      <c r="G332" s="1" t="s">
        <v>27</v>
      </c>
      <c r="H332" s="1" t="s">
        <v>30</v>
      </c>
      <c r="I332" s="2">
        <v>10</v>
      </c>
      <c r="J332" s="3">
        <v>36725</v>
      </c>
      <c r="K332" s="3">
        <v>367250</v>
      </c>
      <c r="L332" s="3">
        <v>161981</v>
      </c>
      <c r="M332" s="3">
        <v>205269</v>
      </c>
      <c r="N332" s="4">
        <v>8</v>
      </c>
    </row>
    <row r="333" spans="1:14" x14ac:dyDescent="0.25">
      <c r="A333" s="2">
        <v>2</v>
      </c>
      <c r="B333" s="1" t="s">
        <v>53</v>
      </c>
      <c r="C333" s="1" t="s">
        <v>54</v>
      </c>
      <c r="D333" s="1" t="s">
        <v>56</v>
      </c>
      <c r="E333" s="11" t="s">
        <v>45</v>
      </c>
      <c r="F333" s="12">
        <v>45778</v>
      </c>
      <c r="G333" s="1" t="s">
        <v>27</v>
      </c>
      <c r="H333" s="1" t="s">
        <v>31</v>
      </c>
      <c r="I333" s="2">
        <v>6</v>
      </c>
      <c r="J333" s="3">
        <v>49402</v>
      </c>
      <c r="K333" s="3">
        <v>296412</v>
      </c>
      <c r="L333" s="3">
        <v>171688</v>
      </c>
      <c r="M333" s="3">
        <v>124724</v>
      </c>
      <c r="N333" s="4">
        <v>11</v>
      </c>
    </row>
    <row r="334" spans="1:14" x14ac:dyDescent="0.25">
      <c r="A334" s="2">
        <v>2</v>
      </c>
      <c r="B334" s="1" t="s">
        <v>53</v>
      </c>
      <c r="C334" s="1" t="s">
        <v>54</v>
      </c>
      <c r="D334" s="1" t="s">
        <v>55</v>
      </c>
      <c r="E334" s="11" t="s">
        <v>45</v>
      </c>
      <c r="F334" s="12">
        <v>45778</v>
      </c>
      <c r="G334" s="1" t="s">
        <v>32</v>
      </c>
      <c r="H334" s="1" t="s">
        <v>33</v>
      </c>
      <c r="I334" s="2">
        <v>13</v>
      </c>
      <c r="J334" s="3">
        <v>11136</v>
      </c>
      <c r="K334" s="3">
        <v>144768</v>
      </c>
      <c r="L334" s="3">
        <v>79373</v>
      </c>
      <c r="M334" s="3">
        <v>65395</v>
      </c>
      <c r="N334" s="4">
        <v>9</v>
      </c>
    </row>
    <row r="335" spans="1:14" x14ac:dyDescent="0.25">
      <c r="A335" s="2">
        <v>2</v>
      </c>
      <c r="B335" s="1" t="s">
        <v>53</v>
      </c>
      <c r="C335" s="1" t="s">
        <v>54</v>
      </c>
      <c r="D335" s="1" t="s">
        <v>56</v>
      </c>
      <c r="E335" s="11" t="s">
        <v>45</v>
      </c>
      <c r="F335" s="12">
        <v>45778</v>
      </c>
      <c r="G335" s="1" t="s">
        <v>32</v>
      </c>
      <c r="H335" s="1" t="s">
        <v>34</v>
      </c>
      <c r="I335" s="2">
        <v>13</v>
      </c>
      <c r="J335" s="3">
        <v>16664</v>
      </c>
      <c r="K335" s="3">
        <v>216632</v>
      </c>
      <c r="L335" s="3">
        <v>113868</v>
      </c>
      <c r="M335" s="3">
        <v>102764</v>
      </c>
      <c r="N335" s="4">
        <v>11</v>
      </c>
    </row>
    <row r="336" spans="1:14" x14ac:dyDescent="0.25">
      <c r="A336" s="2">
        <v>2</v>
      </c>
      <c r="B336" s="1" t="s">
        <v>53</v>
      </c>
      <c r="C336" s="1" t="s">
        <v>54</v>
      </c>
      <c r="D336" s="1" t="s">
        <v>56</v>
      </c>
      <c r="E336" s="11" t="s">
        <v>45</v>
      </c>
      <c r="F336" s="12">
        <v>45778</v>
      </c>
      <c r="G336" s="1" t="s">
        <v>32</v>
      </c>
      <c r="H336" s="1" t="s">
        <v>35</v>
      </c>
      <c r="I336" s="2">
        <v>14</v>
      </c>
      <c r="J336" s="3">
        <v>18887</v>
      </c>
      <c r="K336" s="3">
        <v>264418</v>
      </c>
      <c r="L336" s="3">
        <v>133838</v>
      </c>
      <c r="M336" s="3">
        <v>130580</v>
      </c>
      <c r="N336" s="4">
        <v>5</v>
      </c>
    </row>
    <row r="337" spans="1:14" x14ac:dyDescent="0.25">
      <c r="A337" s="2">
        <v>2</v>
      </c>
      <c r="B337" s="1" t="s">
        <v>53</v>
      </c>
      <c r="C337" s="1" t="s">
        <v>54</v>
      </c>
      <c r="D337" s="1" t="s">
        <v>55</v>
      </c>
      <c r="E337" s="11" t="s">
        <v>45</v>
      </c>
      <c r="F337" s="12">
        <v>45778</v>
      </c>
      <c r="G337" s="1" t="s">
        <v>32</v>
      </c>
      <c r="H337" s="1" t="s">
        <v>36</v>
      </c>
      <c r="I337" s="2">
        <v>11</v>
      </c>
      <c r="J337" s="3">
        <v>16968</v>
      </c>
      <c r="K337" s="3">
        <v>186648</v>
      </c>
      <c r="L337" s="3">
        <v>79295</v>
      </c>
      <c r="M337" s="3">
        <v>107353</v>
      </c>
      <c r="N337" s="4">
        <v>3</v>
      </c>
    </row>
    <row r="338" spans="1:14" x14ac:dyDescent="0.25">
      <c r="A338" s="2">
        <v>2</v>
      </c>
      <c r="B338" s="1" t="s">
        <v>53</v>
      </c>
      <c r="C338" s="1" t="s">
        <v>54</v>
      </c>
      <c r="D338" s="1" t="s">
        <v>55</v>
      </c>
      <c r="E338" s="11" t="s">
        <v>45</v>
      </c>
      <c r="F338" s="12">
        <v>45778</v>
      </c>
      <c r="G338" s="1" t="s">
        <v>37</v>
      </c>
      <c r="H338" s="1" t="s">
        <v>38</v>
      </c>
      <c r="I338" s="2">
        <v>19</v>
      </c>
      <c r="J338" s="3">
        <v>98617</v>
      </c>
      <c r="K338" s="3">
        <v>1873723</v>
      </c>
      <c r="L338" s="3">
        <v>787853</v>
      </c>
      <c r="M338" s="3">
        <v>1085870</v>
      </c>
      <c r="N338" s="4">
        <v>10</v>
      </c>
    </row>
    <row r="339" spans="1:14" x14ac:dyDescent="0.25">
      <c r="A339" s="2">
        <v>2</v>
      </c>
      <c r="B339" s="1" t="s">
        <v>53</v>
      </c>
      <c r="C339" s="1" t="s">
        <v>54</v>
      </c>
      <c r="D339" s="1" t="s">
        <v>56</v>
      </c>
      <c r="E339" s="11" t="s">
        <v>45</v>
      </c>
      <c r="F339" s="12">
        <v>45778</v>
      </c>
      <c r="G339" s="1" t="s">
        <v>37</v>
      </c>
      <c r="H339" s="1" t="s">
        <v>39</v>
      </c>
      <c r="I339" s="2">
        <v>8</v>
      </c>
      <c r="J339" s="3">
        <v>144938</v>
      </c>
      <c r="K339" s="3">
        <v>1159504</v>
      </c>
      <c r="L339" s="3">
        <v>587522</v>
      </c>
      <c r="M339" s="3">
        <v>571982</v>
      </c>
      <c r="N339" s="4">
        <v>0</v>
      </c>
    </row>
    <row r="340" spans="1:14" x14ac:dyDescent="0.25">
      <c r="A340" s="2">
        <v>2</v>
      </c>
      <c r="B340" s="1" t="s">
        <v>53</v>
      </c>
      <c r="C340" s="1" t="s">
        <v>54</v>
      </c>
      <c r="D340" s="1" t="s">
        <v>55</v>
      </c>
      <c r="E340" s="11" t="s">
        <v>45</v>
      </c>
      <c r="F340" s="12">
        <v>45778</v>
      </c>
      <c r="G340" s="1" t="s">
        <v>37</v>
      </c>
      <c r="H340" s="1" t="s">
        <v>40</v>
      </c>
      <c r="I340" s="2">
        <v>7</v>
      </c>
      <c r="J340" s="3">
        <v>116999</v>
      </c>
      <c r="K340" s="3">
        <v>818993</v>
      </c>
      <c r="L340" s="3">
        <v>466761</v>
      </c>
      <c r="M340" s="3">
        <v>352232</v>
      </c>
      <c r="N340" s="4">
        <v>1</v>
      </c>
    </row>
    <row r="341" spans="1:14" x14ac:dyDescent="0.25">
      <c r="A341" s="2">
        <v>2</v>
      </c>
      <c r="B341" s="1" t="s">
        <v>53</v>
      </c>
      <c r="C341" s="1" t="s">
        <v>54</v>
      </c>
      <c r="D341" s="1" t="s">
        <v>56</v>
      </c>
      <c r="E341" s="11" t="s">
        <v>45</v>
      </c>
      <c r="F341" s="12">
        <v>45778</v>
      </c>
      <c r="G341" s="1" t="s">
        <v>37</v>
      </c>
      <c r="H341" s="1" t="s">
        <v>41</v>
      </c>
      <c r="I341" s="2">
        <v>15</v>
      </c>
      <c r="J341" s="3">
        <v>88247</v>
      </c>
      <c r="K341" s="3">
        <v>1323705</v>
      </c>
      <c r="L341" s="3">
        <v>901507</v>
      </c>
      <c r="M341" s="3">
        <v>422198</v>
      </c>
      <c r="N341" s="4">
        <v>4</v>
      </c>
    </row>
    <row r="342" spans="1:14" x14ac:dyDescent="0.25">
      <c r="A342" s="2">
        <v>2</v>
      </c>
      <c r="B342" s="1" t="s">
        <v>53</v>
      </c>
      <c r="C342" s="1" t="s">
        <v>54</v>
      </c>
      <c r="D342" s="1" t="s">
        <v>56</v>
      </c>
      <c r="E342" s="11" t="s">
        <v>46</v>
      </c>
      <c r="F342" s="12">
        <v>45809</v>
      </c>
      <c r="G342" s="1" t="s">
        <v>16</v>
      </c>
      <c r="H342" s="1" t="s">
        <v>17</v>
      </c>
      <c r="I342" s="2">
        <v>1</v>
      </c>
      <c r="J342" s="3">
        <v>79129</v>
      </c>
      <c r="K342" s="3">
        <v>79129</v>
      </c>
      <c r="L342" s="3">
        <v>32391</v>
      </c>
      <c r="M342" s="3">
        <v>46738</v>
      </c>
      <c r="N342" s="4">
        <v>3</v>
      </c>
    </row>
    <row r="343" spans="1:14" x14ac:dyDescent="0.25">
      <c r="A343" s="2">
        <v>2</v>
      </c>
      <c r="B343" s="1" t="s">
        <v>53</v>
      </c>
      <c r="C343" s="1" t="s">
        <v>54</v>
      </c>
      <c r="D343" s="1" t="s">
        <v>55</v>
      </c>
      <c r="E343" s="11" t="s">
        <v>46</v>
      </c>
      <c r="F343" s="12">
        <v>45809</v>
      </c>
      <c r="G343" s="1" t="s">
        <v>16</v>
      </c>
      <c r="H343" s="1" t="s">
        <v>19</v>
      </c>
      <c r="I343" s="2">
        <v>19</v>
      </c>
      <c r="J343" s="3">
        <v>87298</v>
      </c>
      <c r="K343" s="3">
        <v>1658662</v>
      </c>
      <c r="L343" s="3">
        <v>1082208</v>
      </c>
      <c r="M343" s="3">
        <v>576454</v>
      </c>
      <c r="N343" s="4">
        <v>0</v>
      </c>
    </row>
    <row r="344" spans="1:14" x14ac:dyDescent="0.25">
      <c r="A344" s="2">
        <v>2</v>
      </c>
      <c r="B344" s="1" t="s">
        <v>53</v>
      </c>
      <c r="C344" s="1" t="s">
        <v>54</v>
      </c>
      <c r="D344" s="1" t="s">
        <v>56</v>
      </c>
      <c r="E344" s="11" t="s">
        <v>46</v>
      </c>
      <c r="F344" s="12">
        <v>45809</v>
      </c>
      <c r="G344" s="1" t="s">
        <v>16</v>
      </c>
      <c r="H344" s="1" t="s">
        <v>20</v>
      </c>
      <c r="I344" s="2">
        <v>13</v>
      </c>
      <c r="J344" s="3">
        <v>58890</v>
      </c>
      <c r="K344" s="3">
        <v>765570</v>
      </c>
      <c r="L344" s="3">
        <v>382994</v>
      </c>
      <c r="M344" s="3">
        <v>382576</v>
      </c>
      <c r="N344" s="4">
        <v>9</v>
      </c>
    </row>
    <row r="345" spans="1:14" x14ac:dyDescent="0.25">
      <c r="A345" s="2">
        <v>2</v>
      </c>
      <c r="B345" s="1" t="s">
        <v>53</v>
      </c>
      <c r="C345" s="1" t="s">
        <v>54</v>
      </c>
      <c r="D345" s="1" t="s">
        <v>56</v>
      </c>
      <c r="E345" s="11" t="s">
        <v>46</v>
      </c>
      <c r="F345" s="12">
        <v>45809</v>
      </c>
      <c r="G345" s="1" t="s">
        <v>16</v>
      </c>
      <c r="H345" s="1" t="s">
        <v>21</v>
      </c>
      <c r="I345" s="2">
        <v>2</v>
      </c>
      <c r="J345" s="3">
        <v>21524</v>
      </c>
      <c r="K345" s="3">
        <v>43048</v>
      </c>
      <c r="L345" s="3">
        <v>21666</v>
      </c>
      <c r="M345" s="3">
        <v>21382</v>
      </c>
      <c r="N345" s="4">
        <v>7</v>
      </c>
    </row>
    <row r="346" spans="1:14" x14ac:dyDescent="0.25">
      <c r="A346" s="2">
        <v>2</v>
      </c>
      <c r="B346" s="1" t="s">
        <v>53</v>
      </c>
      <c r="C346" s="1" t="s">
        <v>54</v>
      </c>
      <c r="D346" s="1" t="s">
        <v>55</v>
      </c>
      <c r="E346" s="11" t="s">
        <v>46</v>
      </c>
      <c r="F346" s="12">
        <v>45809</v>
      </c>
      <c r="G346" s="1" t="s">
        <v>22</v>
      </c>
      <c r="H346" s="1" t="s">
        <v>23</v>
      </c>
      <c r="I346" s="2">
        <v>17</v>
      </c>
      <c r="J346" s="3">
        <v>74912</v>
      </c>
      <c r="K346" s="3">
        <v>1273504</v>
      </c>
      <c r="L346" s="3">
        <v>698704</v>
      </c>
      <c r="M346" s="3">
        <v>574800</v>
      </c>
      <c r="N346" s="4">
        <v>10</v>
      </c>
    </row>
    <row r="347" spans="1:14" x14ac:dyDescent="0.25">
      <c r="A347" s="2">
        <v>2</v>
      </c>
      <c r="B347" s="1" t="s">
        <v>53</v>
      </c>
      <c r="C347" s="1" t="s">
        <v>54</v>
      </c>
      <c r="D347" s="1" t="s">
        <v>56</v>
      </c>
      <c r="E347" s="11" t="s">
        <v>46</v>
      </c>
      <c r="F347" s="12">
        <v>45809</v>
      </c>
      <c r="G347" s="1" t="s">
        <v>22</v>
      </c>
      <c r="H347" s="1" t="s">
        <v>24</v>
      </c>
      <c r="I347" s="2">
        <v>8</v>
      </c>
      <c r="J347" s="3">
        <v>75337</v>
      </c>
      <c r="K347" s="3">
        <v>602696</v>
      </c>
      <c r="L347" s="3">
        <v>324192</v>
      </c>
      <c r="M347" s="3">
        <v>278504</v>
      </c>
      <c r="N347" s="4">
        <v>2</v>
      </c>
    </row>
    <row r="348" spans="1:14" x14ac:dyDescent="0.25">
      <c r="A348" s="2">
        <v>2</v>
      </c>
      <c r="B348" s="1" t="s">
        <v>53</v>
      </c>
      <c r="C348" s="1" t="s">
        <v>54</v>
      </c>
      <c r="D348" s="1" t="s">
        <v>56</v>
      </c>
      <c r="E348" s="11" t="s">
        <v>46</v>
      </c>
      <c r="F348" s="12">
        <v>45809</v>
      </c>
      <c r="G348" s="1" t="s">
        <v>22</v>
      </c>
      <c r="H348" s="1" t="s">
        <v>25</v>
      </c>
      <c r="I348" s="2">
        <v>3</v>
      </c>
      <c r="J348" s="3">
        <v>48145</v>
      </c>
      <c r="K348" s="3">
        <v>144435</v>
      </c>
      <c r="L348" s="3">
        <v>92413</v>
      </c>
      <c r="M348" s="3">
        <v>52022</v>
      </c>
      <c r="N348" s="4">
        <v>11</v>
      </c>
    </row>
    <row r="349" spans="1:14" x14ac:dyDescent="0.25">
      <c r="A349" s="2">
        <v>2</v>
      </c>
      <c r="B349" s="1" t="s">
        <v>53</v>
      </c>
      <c r="C349" s="1" t="s">
        <v>54</v>
      </c>
      <c r="D349" s="1" t="s">
        <v>55</v>
      </c>
      <c r="E349" s="11" t="s">
        <v>46</v>
      </c>
      <c r="F349" s="12">
        <v>45809</v>
      </c>
      <c r="G349" s="1" t="s">
        <v>22</v>
      </c>
      <c r="H349" s="1" t="s">
        <v>26</v>
      </c>
      <c r="I349" s="2">
        <v>19</v>
      </c>
      <c r="J349" s="3">
        <v>105469</v>
      </c>
      <c r="K349" s="3">
        <v>2003911</v>
      </c>
      <c r="L349" s="3">
        <v>804722</v>
      </c>
      <c r="M349" s="3">
        <v>1199189</v>
      </c>
      <c r="N349" s="4">
        <v>11</v>
      </c>
    </row>
    <row r="350" spans="1:14" x14ac:dyDescent="0.25">
      <c r="A350" s="2">
        <v>2</v>
      </c>
      <c r="B350" s="1" t="s">
        <v>53</v>
      </c>
      <c r="C350" s="1" t="s">
        <v>54</v>
      </c>
      <c r="D350" s="1" t="s">
        <v>55</v>
      </c>
      <c r="E350" s="11" t="s">
        <v>46</v>
      </c>
      <c r="F350" s="12">
        <v>45809</v>
      </c>
      <c r="G350" s="1" t="s">
        <v>27</v>
      </c>
      <c r="H350" s="1" t="s">
        <v>28</v>
      </c>
      <c r="I350" s="2">
        <v>19</v>
      </c>
      <c r="J350" s="3">
        <v>111748</v>
      </c>
      <c r="K350" s="3">
        <v>2123212</v>
      </c>
      <c r="L350" s="3">
        <v>907619</v>
      </c>
      <c r="M350" s="3">
        <v>1215593</v>
      </c>
      <c r="N350" s="4">
        <v>10</v>
      </c>
    </row>
    <row r="351" spans="1:14" x14ac:dyDescent="0.25">
      <c r="A351" s="2">
        <v>2</v>
      </c>
      <c r="B351" s="1" t="s">
        <v>53</v>
      </c>
      <c r="C351" s="1" t="s">
        <v>54</v>
      </c>
      <c r="D351" s="1" t="s">
        <v>55</v>
      </c>
      <c r="E351" s="11" t="s">
        <v>46</v>
      </c>
      <c r="F351" s="12">
        <v>45809</v>
      </c>
      <c r="G351" s="1" t="s">
        <v>27</v>
      </c>
      <c r="H351" s="1" t="s">
        <v>29</v>
      </c>
      <c r="I351" s="2">
        <v>17</v>
      </c>
      <c r="J351" s="3">
        <v>55772</v>
      </c>
      <c r="K351" s="3">
        <v>948124</v>
      </c>
      <c r="L351" s="3">
        <v>603958</v>
      </c>
      <c r="M351" s="3">
        <v>344166</v>
      </c>
      <c r="N351" s="4">
        <v>8</v>
      </c>
    </row>
    <row r="352" spans="1:14" x14ac:dyDescent="0.25">
      <c r="A352" s="2">
        <v>2</v>
      </c>
      <c r="B352" s="1" t="s">
        <v>53</v>
      </c>
      <c r="C352" s="1" t="s">
        <v>54</v>
      </c>
      <c r="D352" s="1" t="s">
        <v>55</v>
      </c>
      <c r="E352" s="11" t="s">
        <v>46</v>
      </c>
      <c r="F352" s="12">
        <v>45809</v>
      </c>
      <c r="G352" s="1" t="s">
        <v>27</v>
      </c>
      <c r="H352" s="1" t="s">
        <v>30</v>
      </c>
      <c r="I352" s="2">
        <v>17</v>
      </c>
      <c r="J352" s="3">
        <v>77134</v>
      </c>
      <c r="K352" s="3">
        <v>1311278</v>
      </c>
      <c r="L352" s="3">
        <v>558619</v>
      </c>
      <c r="M352" s="3">
        <v>752659</v>
      </c>
      <c r="N352" s="4">
        <v>7</v>
      </c>
    </row>
    <row r="353" spans="1:14" x14ac:dyDescent="0.25">
      <c r="A353" s="2">
        <v>2</v>
      </c>
      <c r="B353" s="1" t="s">
        <v>53</v>
      </c>
      <c r="C353" s="1" t="s">
        <v>54</v>
      </c>
      <c r="D353" s="1" t="s">
        <v>55</v>
      </c>
      <c r="E353" s="11" t="s">
        <v>46</v>
      </c>
      <c r="F353" s="12">
        <v>45809</v>
      </c>
      <c r="G353" s="1" t="s">
        <v>27</v>
      </c>
      <c r="H353" s="1" t="s">
        <v>31</v>
      </c>
      <c r="I353" s="2">
        <v>19</v>
      </c>
      <c r="J353" s="3">
        <v>91431</v>
      </c>
      <c r="K353" s="3">
        <v>1737189</v>
      </c>
      <c r="L353" s="3">
        <v>1027868</v>
      </c>
      <c r="M353" s="3">
        <v>709321</v>
      </c>
      <c r="N353" s="4">
        <v>0</v>
      </c>
    </row>
    <row r="354" spans="1:14" x14ac:dyDescent="0.25">
      <c r="A354" s="2">
        <v>2</v>
      </c>
      <c r="B354" s="1" t="s">
        <v>53</v>
      </c>
      <c r="C354" s="1" t="s">
        <v>54</v>
      </c>
      <c r="D354" s="1" t="s">
        <v>55</v>
      </c>
      <c r="E354" s="11" t="s">
        <v>46</v>
      </c>
      <c r="F354" s="12">
        <v>45809</v>
      </c>
      <c r="G354" s="1" t="s">
        <v>32</v>
      </c>
      <c r="H354" s="1" t="s">
        <v>33</v>
      </c>
      <c r="I354" s="2">
        <v>5</v>
      </c>
      <c r="J354" s="3">
        <v>7421</v>
      </c>
      <c r="K354" s="3">
        <v>37105</v>
      </c>
      <c r="L354" s="3">
        <v>21935</v>
      </c>
      <c r="M354" s="3">
        <v>15170</v>
      </c>
      <c r="N354" s="4">
        <v>7</v>
      </c>
    </row>
    <row r="355" spans="1:14" x14ac:dyDescent="0.25">
      <c r="A355" s="2">
        <v>2</v>
      </c>
      <c r="B355" s="1" t="s">
        <v>53</v>
      </c>
      <c r="C355" s="1" t="s">
        <v>54</v>
      </c>
      <c r="D355" s="1" t="s">
        <v>56</v>
      </c>
      <c r="E355" s="11" t="s">
        <v>46</v>
      </c>
      <c r="F355" s="12">
        <v>45809</v>
      </c>
      <c r="G355" s="1" t="s">
        <v>32</v>
      </c>
      <c r="H355" s="1" t="s">
        <v>34</v>
      </c>
      <c r="I355" s="2">
        <v>18</v>
      </c>
      <c r="J355" s="3">
        <v>18400</v>
      </c>
      <c r="K355" s="3">
        <v>331200</v>
      </c>
      <c r="L355" s="3">
        <v>196732</v>
      </c>
      <c r="M355" s="3">
        <v>134468</v>
      </c>
      <c r="N355" s="4">
        <v>10</v>
      </c>
    </row>
    <row r="356" spans="1:14" x14ac:dyDescent="0.25">
      <c r="A356" s="2">
        <v>2</v>
      </c>
      <c r="B356" s="1" t="s">
        <v>53</v>
      </c>
      <c r="C356" s="1" t="s">
        <v>54</v>
      </c>
      <c r="D356" s="1" t="s">
        <v>55</v>
      </c>
      <c r="E356" s="11" t="s">
        <v>46</v>
      </c>
      <c r="F356" s="12">
        <v>45809</v>
      </c>
      <c r="G356" s="1" t="s">
        <v>32</v>
      </c>
      <c r="H356" s="1" t="s">
        <v>35</v>
      </c>
      <c r="I356" s="2">
        <v>9</v>
      </c>
      <c r="J356" s="3">
        <v>13044</v>
      </c>
      <c r="K356" s="3">
        <v>117396</v>
      </c>
      <c r="L356" s="3">
        <v>70552</v>
      </c>
      <c r="M356" s="3">
        <v>46844</v>
      </c>
      <c r="N356" s="4">
        <v>9</v>
      </c>
    </row>
    <row r="357" spans="1:14" x14ac:dyDescent="0.25">
      <c r="A357" s="2">
        <v>2</v>
      </c>
      <c r="B357" s="1" t="s">
        <v>53</v>
      </c>
      <c r="C357" s="1" t="s">
        <v>54</v>
      </c>
      <c r="D357" s="1" t="s">
        <v>55</v>
      </c>
      <c r="E357" s="11" t="s">
        <v>46</v>
      </c>
      <c r="F357" s="12">
        <v>45809</v>
      </c>
      <c r="G357" s="1" t="s">
        <v>32</v>
      </c>
      <c r="H357" s="1" t="s">
        <v>36</v>
      </c>
      <c r="I357" s="2">
        <v>16</v>
      </c>
      <c r="J357" s="3">
        <v>9806</v>
      </c>
      <c r="K357" s="3">
        <v>156896</v>
      </c>
      <c r="L357" s="3">
        <v>109796</v>
      </c>
      <c r="M357" s="3">
        <v>47100</v>
      </c>
      <c r="N357" s="4">
        <v>9</v>
      </c>
    </row>
    <row r="358" spans="1:14" x14ac:dyDescent="0.25">
      <c r="A358" s="2">
        <v>2</v>
      </c>
      <c r="B358" s="1" t="s">
        <v>53</v>
      </c>
      <c r="C358" s="1" t="s">
        <v>54</v>
      </c>
      <c r="D358" s="1" t="s">
        <v>56</v>
      </c>
      <c r="E358" s="11" t="s">
        <v>46</v>
      </c>
      <c r="F358" s="12">
        <v>45809</v>
      </c>
      <c r="G358" s="1" t="s">
        <v>37</v>
      </c>
      <c r="H358" s="1" t="s">
        <v>38</v>
      </c>
      <c r="I358" s="2">
        <v>7</v>
      </c>
      <c r="J358" s="3">
        <v>64813</v>
      </c>
      <c r="K358" s="3">
        <v>453691</v>
      </c>
      <c r="L358" s="3">
        <v>197880</v>
      </c>
      <c r="M358" s="3">
        <v>255811</v>
      </c>
      <c r="N358" s="4">
        <v>6</v>
      </c>
    </row>
    <row r="359" spans="1:14" x14ac:dyDescent="0.25">
      <c r="A359" s="2">
        <v>2</v>
      </c>
      <c r="B359" s="1" t="s">
        <v>53</v>
      </c>
      <c r="C359" s="1" t="s">
        <v>54</v>
      </c>
      <c r="D359" s="1" t="s">
        <v>56</v>
      </c>
      <c r="E359" s="11" t="s">
        <v>46</v>
      </c>
      <c r="F359" s="12">
        <v>45809</v>
      </c>
      <c r="G359" s="1" t="s">
        <v>37</v>
      </c>
      <c r="H359" s="1" t="s">
        <v>39</v>
      </c>
      <c r="I359" s="2">
        <v>9</v>
      </c>
      <c r="J359" s="3">
        <v>31122</v>
      </c>
      <c r="K359" s="3">
        <v>280098</v>
      </c>
      <c r="L359" s="3">
        <v>189715</v>
      </c>
      <c r="M359" s="3">
        <v>90383</v>
      </c>
      <c r="N359" s="4">
        <v>1</v>
      </c>
    </row>
    <row r="360" spans="1:14" x14ac:dyDescent="0.25">
      <c r="A360" s="2">
        <v>2</v>
      </c>
      <c r="B360" s="1" t="s">
        <v>53</v>
      </c>
      <c r="C360" s="1" t="s">
        <v>54</v>
      </c>
      <c r="D360" s="1" t="s">
        <v>55</v>
      </c>
      <c r="E360" s="11" t="s">
        <v>46</v>
      </c>
      <c r="F360" s="12">
        <v>45809</v>
      </c>
      <c r="G360" s="1" t="s">
        <v>37</v>
      </c>
      <c r="H360" s="1" t="s">
        <v>40</v>
      </c>
      <c r="I360" s="2">
        <v>18</v>
      </c>
      <c r="J360" s="3">
        <v>56062</v>
      </c>
      <c r="K360" s="3">
        <v>1009116</v>
      </c>
      <c r="L360" s="3">
        <v>664616</v>
      </c>
      <c r="M360" s="3">
        <v>344500</v>
      </c>
      <c r="N360" s="4">
        <v>6</v>
      </c>
    </row>
    <row r="361" spans="1:14" x14ac:dyDescent="0.25">
      <c r="A361" s="2">
        <v>2</v>
      </c>
      <c r="B361" s="1" t="s">
        <v>53</v>
      </c>
      <c r="C361" s="1" t="s">
        <v>54</v>
      </c>
      <c r="D361" s="1" t="s">
        <v>56</v>
      </c>
      <c r="E361" s="11" t="s">
        <v>46</v>
      </c>
      <c r="F361" s="12">
        <v>45809</v>
      </c>
      <c r="G361" s="1" t="s">
        <v>37</v>
      </c>
      <c r="H361" s="1" t="s">
        <v>41</v>
      </c>
      <c r="I361" s="2">
        <v>3</v>
      </c>
      <c r="J361" s="3">
        <v>57265</v>
      </c>
      <c r="K361" s="3">
        <v>171795</v>
      </c>
      <c r="L361" s="3">
        <v>95643</v>
      </c>
      <c r="M361" s="3">
        <v>76152</v>
      </c>
      <c r="N361" s="4">
        <v>6</v>
      </c>
    </row>
    <row r="362" spans="1:14" x14ac:dyDescent="0.25">
      <c r="A362" s="2">
        <v>2</v>
      </c>
      <c r="B362" s="1" t="s">
        <v>53</v>
      </c>
      <c r="C362" s="1" t="s">
        <v>54</v>
      </c>
      <c r="D362" s="1" t="s">
        <v>56</v>
      </c>
      <c r="E362" s="11" t="s">
        <v>47</v>
      </c>
      <c r="F362" s="12">
        <v>45839</v>
      </c>
      <c r="G362" s="1" t="s">
        <v>16</v>
      </c>
      <c r="H362" s="1" t="s">
        <v>17</v>
      </c>
      <c r="I362" s="2">
        <v>17</v>
      </c>
      <c r="J362" s="3">
        <v>109613</v>
      </c>
      <c r="K362" s="3">
        <v>1863421</v>
      </c>
      <c r="L362" s="3">
        <v>1078698</v>
      </c>
      <c r="M362" s="3">
        <v>784723</v>
      </c>
      <c r="N362" s="4">
        <v>2</v>
      </c>
    </row>
    <row r="363" spans="1:14" x14ac:dyDescent="0.25">
      <c r="A363" s="2">
        <v>2</v>
      </c>
      <c r="B363" s="1" t="s">
        <v>53</v>
      </c>
      <c r="C363" s="1" t="s">
        <v>54</v>
      </c>
      <c r="D363" s="1" t="s">
        <v>55</v>
      </c>
      <c r="E363" s="11" t="s">
        <v>47</v>
      </c>
      <c r="F363" s="12">
        <v>45839</v>
      </c>
      <c r="G363" s="1" t="s">
        <v>16</v>
      </c>
      <c r="H363" s="1" t="s">
        <v>19</v>
      </c>
      <c r="I363" s="2">
        <v>12</v>
      </c>
      <c r="J363" s="3">
        <v>116443</v>
      </c>
      <c r="K363" s="3">
        <v>1397316</v>
      </c>
      <c r="L363" s="3">
        <v>760585</v>
      </c>
      <c r="M363" s="3">
        <v>636731</v>
      </c>
      <c r="N363" s="4">
        <v>2</v>
      </c>
    </row>
    <row r="364" spans="1:14" x14ac:dyDescent="0.25">
      <c r="A364" s="2">
        <v>2</v>
      </c>
      <c r="B364" s="1" t="s">
        <v>53</v>
      </c>
      <c r="C364" s="1" t="s">
        <v>54</v>
      </c>
      <c r="D364" s="1" t="s">
        <v>56</v>
      </c>
      <c r="E364" s="11" t="s">
        <v>47</v>
      </c>
      <c r="F364" s="12">
        <v>45839</v>
      </c>
      <c r="G364" s="1" t="s">
        <v>16</v>
      </c>
      <c r="H364" s="1" t="s">
        <v>20</v>
      </c>
      <c r="I364" s="2">
        <v>5</v>
      </c>
      <c r="J364" s="3">
        <v>115402</v>
      </c>
      <c r="K364" s="3">
        <v>577010</v>
      </c>
      <c r="L364" s="3">
        <v>289637</v>
      </c>
      <c r="M364" s="3">
        <v>287373</v>
      </c>
      <c r="N364" s="4">
        <v>6</v>
      </c>
    </row>
    <row r="365" spans="1:14" x14ac:dyDescent="0.25">
      <c r="A365" s="2">
        <v>2</v>
      </c>
      <c r="B365" s="1" t="s">
        <v>53</v>
      </c>
      <c r="C365" s="1" t="s">
        <v>54</v>
      </c>
      <c r="D365" s="1" t="s">
        <v>55</v>
      </c>
      <c r="E365" s="11" t="s">
        <v>47</v>
      </c>
      <c r="F365" s="12">
        <v>45839</v>
      </c>
      <c r="G365" s="1" t="s">
        <v>16</v>
      </c>
      <c r="H365" s="1" t="s">
        <v>21</v>
      </c>
      <c r="I365" s="2">
        <v>12</v>
      </c>
      <c r="J365" s="3">
        <v>60998</v>
      </c>
      <c r="K365" s="3">
        <v>731976</v>
      </c>
      <c r="L365" s="3">
        <v>362025</v>
      </c>
      <c r="M365" s="3">
        <v>369951</v>
      </c>
      <c r="N365" s="4">
        <v>0</v>
      </c>
    </row>
    <row r="366" spans="1:14" x14ac:dyDescent="0.25">
      <c r="A366" s="2">
        <v>2</v>
      </c>
      <c r="B366" s="1" t="s">
        <v>53</v>
      </c>
      <c r="C366" s="1" t="s">
        <v>54</v>
      </c>
      <c r="D366" s="1" t="s">
        <v>55</v>
      </c>
      <c r="E366" s="11" t="s">
        <v>47</v>
      </c>
      <c r="F366" s="12">
        <v>45839</v>
      </c>
      <c r="G366" s="1" t="s">
        <v>22</v>
      </c>
      <c r="H366" s="1" t="s">
        <v>23</v>
      </c>
      <c r="I366" s="2">
        <v>4</v>
      </c>
      <c r="J366" s="3">
        <v>74620</v>
      </c>
      <c r="K366" s="3">
        <v>298480</v>
      </c>
      <c r="L366" s="3">
        <v>178639</v>
      </c>
      <c r="M366" s="3">
        <v>119841</v>
      </c>
      <c r="N366" s="4">
        <v>12</v>
      </c>
    </row>
    <row r="367" spans="1:14" x14ac:dyDescent="0.25">
      <c r="A367" s="2">
        <v>2</v>
      </c>
      <c r="B367" s="1" t="s">
        <v>53</v>
      </c>
      <c r="C367" s="1" t="s">
        <v>54</v>
      </c>
      <c r="D367" s="1" t="s">
        <v>55</v>
      </c>
      <c r="E367" s="11" t="s">
        <v>47</v>
      </c>
      <c r="F367" s="12">
        <v>45839</v>
      </c>
      <c r="G367" s="1" t="s">
        <v>22</v>
      </c>
      <c r="H367" s="1" t="s">
        <v>24</v>
      </c>
      <c r="I367" s="2">
        <v>18</v>
      </c>
      <c r="J367" s="3">
        <v>133824</v>
      </c>
      <c r="K367" s="3">
        <v>2408832</v>
      </c>
      <c r="L367" s="3">
        <v>1603784</v>
      </c>
      <c r="M367" s="3">
        <v>805048</v>
      </c>
      <c r="N367" s="4">
        <v>9</v>
      </c>
    </row>
    <row r="368" spans="1:14" x14ac:dyDescent="0.25">
      <c r="A368" s="2">
        <v>2</v>
      </c>
      <c r="B368" s="1" t="s">
        <v>53</v>
      </c>
      <c r="C368" s="1" t="s">
        <v>54</v>
      </c>
      <c r="D368" s="1" t="s">
        <v>56</v>
      </c>
      <c r="E368" s="11" t="s">
        <v>47</v>
      </c>
      <c r="F368" s="12">
        <v>45839</v>
      </c>
      <c r="G368" s="1" t="s">
        <v>22</v>
      </c>
      <c r="H368" s="1" t="s">
        <v>25</v>
      </c>
      <c r="I368" s="2">
        <v>12</v>
      </c>
      <c r="J368" s="3">
        <v>100765</v>
      </c>
      <c r="K368" s="3">
        <v>1209180</v>
      </c>
      <c r="L368" s="3">
        <v>635124</v>
      </c>
      <c r="M368" s="3">
        <v>574056</v>
      </c>
      <c r="N368" s="4">
        <v>2</v>
      </c>
    </row>
    <row r="369" spans="1:14" x14ac:dyDescent="0.25">
      <c r="A369" s="2">
        <v>2</v>
      </c>
      <c r="B369" s="1" t="s">
        <v>53</v>
      </c>
      <c r="C369" s="1" t="s">
        <v>54</v>
      </c>
      <c r="D369" s="1" t="s">
        <v>55</v>
      </c>
      <c r="E369" s="11" t="s">
        <v>47</v>
      </c>
      <c r="F369" s="12">
        <v>45839</v>
      </c>
      <c r="G369" s="1" t="s">
        <v>22</v>
      </c>
      <c r="H369" s="1" t="s">
        <v>26</v>
      </c>
      <c r="I369" s="2">
        <v>10</v>
      </c>
      <c r="J369" s="3">
        <v>86081</v>
      </c>
      <c r="K369" s="3">
        <v>860810</v>
      </c>
      <c r="L369" s="3">
        <v>349816</v>
      </c>
      <c r="M369" s="3">
        <v>510994</v>
      </c>
      <c r="N369" s="4">
        <v>6</v>
      </c>
    </row>
    <row r="370" spans="1:14" x14ac:dyDescent="0.25">
      <c r="A370" s="2">
        <v>2</v>
      </c>
      <c r="B370" s="1" t="s">
        <v>53</v>
      </c>
      <c r="C370" s="1" t="s">
        <v>54</v>
      </c>
      <c r="D370" s="1" t="s">
        <v>56</v>
      </c>
      <c r="E370" s="11" t="s">
        <v>47</v>
      </c>
      <c r="F370" s="12">
        <v>45839</v>
      </c>
      <c r="G370" s="1" t="s">
        <v>27</v>
      </c>
      <c r="H370" s="1" t="s">
        <v>28</v>
      </c>
      <c r="I370" s="2">
        <v>13</v>
      </c>
      <c r="J370" s="3">
        <v>47788</v>
      </c>
      <c r="K370" s="3">
        <v>621244</v>
      </c>
      <c r="L370" s="3">
        <v>320058</v>
      </c>
      <c r="M370" s="3">
        <v>301186</v>
      </c>
      <c r="N370" s="4">
        <v>2</v>
      </c>
    </row>
    <row r="371" spans="1:14" x14ac:dyDescent="0.25">
      <c r="A371" s="2">
        <v>2</v>
      </c>
      <c r="B371" s="1" t="s">
        <v>53</v>
      </c>
      <c r="C371" s="1" t="s">
        <v>54</v>
      </c>
      <c r="D371" s="1" t="s">
        <v>56</v>
      </c>
      <c r="E371" s="11" t="s">
        <v>47</v>
      </c>
      <c r="F371" s="12">
        <v>45839</v>
      </c>
      <c r="G371" s="1" t="s">
        <v>27</v>
      </c>
      <c r="H371" s="1" t="s">
        <v>29</v>
      </c>
      <c r="I371" s="2">
        <v>7</v>
      </c>
      <c r="J371" s="3">
        <v>127309</v>
      </c>
      <c r="K371" s="3">
        <v>891163</v>
      </c>
      <c r="L371" s="3">
        <v>450227</v>
      </c>
      <c r="M371" s="3">
        <v>440936</v>
      </c>
      <c r="N371" s="4">
        <v>13</v>
      </c>
    </row>
    <row r="372" spans="1:14" x14ac:dyDescent="0.25">
      <c r="A372" s="2">
        <v>2</v>
      </c>
      <c r="B372" s="1" t="s">
        <v>53</v>
      </c>
      <c r="C372" s="1" t="s">
        <v>54</v>
      </c>
      <c r="D372" s="1" t="s">
        <v>56</v>
      </c>
      <c r="E372" s="11" t="s">
        <v>47</v>
      </c>
      <c r="F372" s="12">
        <v>45839</v>
      </c>
      <c r="G372" s="1" t="s">
        <v>27</v>
      </c>
      <c r="H372" s="1" t="s">
        <v>30</v>
      </c>
      <c r="I372" s="2">
        <v>17</v>
      </c>
      <c r="J372" s="3">
        <v>81916</v>
      </c>
      <c r="K372" s="3">
        <v>1392572</v>
      </c>
      <c r="L372" s="3">
        <v>572735</v>
      </c>
      <c r="M372" s="3">
        <v>819837</v>
      </c>
      <c r="N372" s="4">
        <v>11</v>
      </c>
    </row>
    <row r="373" spans="1:14" x14ac:dyDescent="0.25">
      <c r="A373" s="2">
        <v>2</v>
      </c>
      <c r="B373" s="1" t="s">
        <v>53</v>
      </c>
      <c r="C373" s="1" t="s">
        <v>54</v>
      </c>
      <c r="D373" s="1" t="s">
        <v>55</v>
      </c>
      <c r="E373" s="11" t="s">
        <v>47</v>
      </c>
      <c r="F373" s="12">
        <v>45839</v>
      </c>
      <c r="G373" s="1" t="s">
        <v>27</v>
      </c>
      <c r="H373" s="1" t="s">
        <v>31</v>
      </c>
      <c r="I373" s="2">
        <v>16</v>
      </c>
      <c r="J373" s="3">
        <v>105431</v>
      </c>
      <c r="K373" s="3">
        <v>1686896</v>
      </c>
      <c r="L373" s="3">
        <v>812250</v>
      </c>
      <c r="M373" s="3">
        <v>874646</v>
      </c>
      <c r="N373" s="4">
        <v>8</v>
      </c>
    </row>
    <row r="374" spans="1:14" x14ac:dyDescent="0.25">
      <c r="A374" s="2">
        <v>2</v>
      </c>
      <c r="B374" s="1" t="s">
        <v>53</v>
      </c>
      <c r="C374" s="1" t="s">
        <v>54</v>
      </c>
      <c r="D374" s="1" t="s">
        <v>56</v>
      </c>
      <c r="E374" s="11" t="s">
        <v>47</v>
      </c>
      <c r="F374" s="12">
        <v>45839</v>
      </c>
      <c r="G374" s="1" t="s">
        <v>32</v>
      </c>
      <c r="H374" s="1" t="s">
        <v>33</v>
      </c>
      <c r="I374" s="2">
        <v>10</v>
      </c>
      <c r="J374" s="3">
        <v>12069</v>
      </c>
      <c r="K374" s="3">
        <v>120690</v>
      </c>
      <c r="L374" s="3">
        <v>63402</v>
      </c>
      <c r="M374" s="3">
        <v>57288</v>
      </c>
      <c r="N374" s="4">
        <v>6</v>
      </c>
    </row>
    <row r="375" spans="1:14" x14ac:dyDescent="0.25">
      <c r="A375" s="2">
        <v>2</v>
      </c>
      <c r="B375" s="1" t="s">
        <v>53</v>
      </c>
      <c r="C375" s="1" t="s">
        <v>54</v>
      </c>
      <c r="D375" s="1" t="s">
        <v>56</v>
      </c>
      <c r="E375" s="11" t="s">
        <v>47</v>
      </c>
      <c r="F375" s="12">
        <v>45839</v>
      </c>
      <c r="G375" s="1" t="s">
        <v>32</v>
      </c>
      <c r="H375" s="1" t="s">
        <v>34</v>
      </c>
      <c r="I375" s="2">
        <v>5</v>
      </c>
      <c r="J375" s="3">
        <v>15816</v>
      </c>
      <c r="K375" s="3">
        <v>79080</v>
      </c>
      <c r="L375" s="3">
        <v>37296</v>
      </c>
      <c r="M375" s="3">
        <v>41784</v>
      </c>
      <c r="N375" s="4">
        <v>2</v>
      </c>
    </row>
    <row r="376" spans="1:14" x14ac:dyDescent="0.25">
      <c r="A376" s="2">
        <v>2</v>
      </c>
      <c r="B376" s="1" t="s">
        <v>53</v>
      </c>
      <c r="C376" s="1" t="s">
        <v>54</v>
      </c>
      <c r="D376" s="1" t="s">
        <v>55</v>
      </c>
      <c r="E376" s="11" t="s">
        <v>47</v>
      </c>
      <c r="F376" s="12">
        <v>45839</v>
      </c>
      <c r="G376" s="1" t="s">
        <v>32</v>
      </c>
      <c r="H376" s="1" t="s">
        <v>35</v>
      </c>
      <c r="I376" s="2">
        <v>13</v>
      </c>
      <c r="J376" s="3">
        <v>6165</v>
      </c>
      <c r="K376" s="3">
        <v>80145</v>
      </c>
      <c r="L376" s="3">
        <v>39198</v>
      </c>
      <c r="M376" s="3">
        <v>40947</v>
      </c>
      <c r="N376" s="4">
        <v>1</v>
      </c>
    </row>
    <row r="377" spans="1:14" x14ac:dyDescent="0.25">
      <c r="A377" s="2">
        <v>2</v>
      </c>
      <c r="B377" s="1" t="s">
        <v>53</v>
      </c>
      <c r="C377" s="1" t="s">
        <v>54</v>
      </c>
      <c r="D377" s="1" t="s">
        <v>56</v>
      </c>
      <c r="E377" s="11" t="s">
        <v>47</v>
      </c>
      <c r="F377" s="12">
        <v>45839</v>
      </c>
      <c r="G377" s="1" t="s">
        <v>32</v>
      </c>
      <c r="H377" s="1" t="s">
        <v>36</v>
      </c>
      <c r="I377" s="2">
        <v>4</v>
      </c>
      <c r="J377" s="3">
        <v>5145</v>
      </c>
      <c r="K377" s="3">
        <v>20580</v>
      </c>
      <c r="L377" s="3">
        <v>9674</v>
      </c>
      <c r="M377" s="3">
        <v>10906</v>
      </c>
      <c r="N377" s="4">
        <v>8</v>
      </c>
    </row>
    <row r="378" spans="1:14" x14ac:dyDescent="0.25">
      <c r="A378" s="2">
        <v>2</v>
      </c>
      <c r="B378" s="1" t="s">
        <v>53</v>
      </c>
      <c r="C378" s="1" t="s">
        <v>54</v>
      </c>
      <c r="D378" s="1" t="s">
        <v>56</v>
      </c>
      <c r="E378" s="11" t="s">
        <v>47</v>
      </c>
      <c r="F378" s="12">
        <v>45839</v>
      </c>
      <c r="G378" s="1" t="s">
        <v>37</v>
      </c>
      <c r="H378" s="1" t="s">
        <v>38</v>
      </c>
      <c r="I378" s="2">
        <v>16</v>
      </c>
      <c r="J378" s="3">
        <v>110816</v>
      </c>
      <c r="K378" s="3">
        <v>1773056</v>
      </c>
      <c r="L378" s="3">
        <v>1193447</v>
      </c>
      <c r="M378" s="3">
        <v>579609</v>
      </c>
      <c r="N378" s="4">
        <v>14</v>
      </c>
    </row>
    <row r="379" spans="1:14" x14ac:dyDescent="0.25">
      <c r="A379" s="2">
        <v>2</v>
      </c>
      <c r="B379" s="1" t="s">
        <v>53</v>
      </c>
      <c r="C379" s="1" t="s">
        <v>54</v>
      </c>
      <c r="D379" s="1" t="s">
        <v>55</v>
      </c>
      <c r="E379" s="11" t="s">
        <v>47</v>
      </c>
      <c r="F379" s="12">
        <v>45839</v>
      </c>
      <c r="G379" s="1" t="s">
        <v>37</v>
      </c>
      <c r="H379" s="1" t="s">
        <v>39</v>
      </c>
      <c r="I379" s="2">
        <v>9</v>
      </c>
      <c r="J379" s="3">
        <v>24494</v>
      </c>
      <c r="K379" s="3">
        <v>220446</v>
      </c>
      <c r="L379" s="3">
        <v>113595</v>
      </c>
      <c r="M379" s="3">
        <v>106851</v>
      </c>
      <c r="N379" s="4">
        <v>7</v>
      </c>
    </row>
    <row r="380" spans="1:14" x14ac:dyDescent="0.25">
      <c r="A380" s="2">
        <v>2</v>
      </c>
      <c r="B380" s="1" t="s">
        <v>53</v>
      </c>
      <c r="C380" s="1" t="s">
        <v>54</v>
      </c>
      <c r="D380" s="1" t="s">
        <v>56</v>
      </c>
      <c r="E380" s="11" t="s">
        <v>47</v>
      </c>
      <c r="F380" s="12">
        <v>45839</v>
      </c>
      <c r="G380" s="1" t="s">
        <v>37</v>
      </c>
      <c r="H380" s="1" t="s">
        <v>40</v>
      </c>
      <c r="I380" s="2">
        <v>4</v>
      </c>
      <c r="J380" s="3">
        <v>117419</v>
      </c>
      <c r="K380" s="3">
        <v>469676</v>
      </c>
      <c r="L380" s="3">
        <v>322632</v>
      </c>
      <c r="M380" s="3">
        <v>147044</v>
      </c>
      <c r="N380" s="4">
        <v>4</v>
      </c>
    </row>
    <row r="381" spans="1:14" x14ac:dyDescent="0.25">
      <c r="A381" s="2">
        <v>2</v>
      </c>
      <c r="B381" s="1" t="s">
        <v>53</v>
      </c>
      <c r="C381" s="1" t="s">
        <v>54</v>
      </c>
      <c r="D381" s="1" t="s">
        <v>56</v>
      </c>
      <c r="E381" s="11" t="s">
        <v>47</v>
      </c>
      <c r="F381" s="12">
        <v>45839</v>
      </c>
      <c r="G381" s="1" t="s">
        <v>37</v>
      </c>
      <c r="H381" s="1" t="s">
        <v>41</v>
      </c>
      <c r="I381" s="2">
        <v>5</v>
      </c>
      <c r="J381" s="3">
        <v>127434</v>
      </c>
      <c r="K381" s="3">
        <v>637170</v>
      </c>
      <c r="L381" s="3">
        <v>367370</v>
      </c>
      <c r="M381" s="3">
        <v>269800</v>
      </c>
      <c r="N381" s="4">
        <v>6</v>
      </c>
    </row>
    <row r="382" spans="1:14" x14ac:dyDescent="0.25">
      <c r="A382" s="2">
        <v>2</v>
      </c>
      <c r="B382" s="1" t="s">
        <v>53</v>
      </c>
      <c r="C382" s="1" t="s">
        <v>54</v>
      </c>
      <c r="D382" s="1" t="s">
        <v>55</v>
      </c>
      <c r="E382" s="11" t="s">
        <v>48</v>
      </c>
      <c r="F382" s="12">
        <v>45870</v>
      </c>
      <c r="G382" s="1" t="s">
        <v>16</v>
      </c>
      <c r="H382" s="1" t="s">
        <v>17</v>
      </c>
      <c r="I382" s="2">
        <v>14</v>
      </c>
      <c r="J382" s="3">
        <v>146295</v>
      </c>
      <c r="K382" s="3">
        <v>2048130</v>
      </c>
      <c r="L382" s="3">
        <v>1106441</v>
      </c>
      <c r="M382" s="3">
        <v>941689</v>
      </c>
      <c r="N382" s="4">
        <v>12</v>
      </c>
    </row>
    <row r="383" spans="1:14" x14ac:dyDescent="0.25">
      <c r="A383" s="2">
        <v>2</v>
      </c>
      <c r="B383" s="1" t="s">
        <v>53</v>
      </c>
      <c r="C383" s="1" t="s">
        <v>54</v>
      </c>
      <c r="D383" s="1" t="s">
        <v>55</v>
      </c>
      <c r="E383" s="11" t="s">
        <v>48</v>
      </c>
      <c r="F383" s="12">
        <v>45870</v>
      </c>
      <c r="G383" s="1" t="s">
        <v>16</v>
      </c>
      <c r="H383" s="1" t="s">
        <v>19</v>
      </c>
      <c r="I383" s="2">
        <v>2</v>
      </c>
      <c r="J383" s="3">
        <v>68280</v>
      </c>
      <c r="K383" s="3">
        <v>136560</v>
      </c>
      <c r="L383" s="3">
        <v>85077</v>
      </c>
      <c r="M383" s="3">
        <v>51483</v>
      </c>
      <c r="N383" s="4">
        <v>3</v>
      </c>
    </row>
    <row r="384" spans="1:14" x14ac:dyDescent="0.25">
      <c r="A384" s="2">
        <v>2</v>
      </c>
      <c r="B384" s="1" t="s">
        <v>53</v>
      </c>
      <c r="C384" s="1" t="s">
        <v>54</v>
      </c>
      <c r="D384" s="1" t="s">
        <v>56</v>
      </c>
      <c r="E384" s="11" t="s">
        <v>48</v>
      </c>
      <c r="F384" s="12">
        <v>45870</v>
      </c>
      <c r="G384" s="1" t="s">
        <v>16</v>
      </c>
      <c r="H384" s="1" t="s">
        <v>20</v>
      </c>
      <c r="I384" s="2">
        <v>8</v>
      </c>
      <c r="J384" s="3">
        <v>76979</v>
      </c>
      <c r="K384" s="3">
        <v>615832</v>
      </c>
      <c r="L384" s="3">
        <v>401120</v>
      </c>
      <c r="M384" s="3">
        <v>214712</v>
      </c>
      <c r="N384" s="4">
        <v>5</v>
      </c>
    </row>
    <row r="385" spans="1:14" x14ac:dyDescent="0.25">
      <c r="A385" s="2">
        <v>2</v>
      </c>
      <c r="B385" s="1" t="s">
        <v>53</v>
      </c>
      <c r="C385" s="1" t="s">
        <v>54</v>
      </c>
      <c r="D385" s="1" t="s">
        <v>55</v>
      </c>
      <c r="E385" s="11" t="s">
        <v>48</v>
      </c>
      <c r="F385" s="12">
        <v>45870</v>
      </c>
      <c r="G385" s="1" t="s">
        <v>16</v>
      </c>
      <c r="H385" s="1" t="s">
        <v>21</v>
      </c>
      <c r="I385" s="2">
        <v>19</v>
      </c>
      <c r="J385" s="3">
        <v>121868</v>
      </c>
      <c r="K385" s="3">
        <v>2315492</v>
      </c>
      <c r="L385" s="3">
        <v>1009789</v>
      </c>
      <c r="M385" s="3">
        <v>1305703</v>
      </c>
      <c r="N385" s="4">
        <v>10</v>
      </c>
    </row>
    <row r="386" spans="1:14" x14ac:dyDescent="0.25">
      <c r="A386" s="2">
        <v>2</v>
      </c>
      <c r="B386" s="1" t="s">
        <v>53</v>
      </c>
      <c r="C386" s="1" t="s">
        <v>54</v>
      </c>
      <c r="D386" s="1" t="s">
        <v>56</v>
      </c>
      <c r="E386" s="11" t="s">
        <v>48</v>
      </c>
      <c r="F386" s="12">
        <v>45870</v>
      </c>
      <c r="G386" s="1" t="s">
        <v>22</v>
      </c>
      <c r="H386" s="1" t="s">
        <v>23</v>
      </c>
      <c r="I386" s="2">
        <v>2</v>
      </c>
      <c r="J386" s="3">
        <v>135512</v>
      </c>
      <c r="K386" s="3">
        <v>271024</v>
      </c>
      <c r="L386" s="3">
        <v>126336</v>
      </c>
      <c r="M386" s="3">
        <v>144688</v>
      </c>
      <c r="N386" s="4">
        <v>0</v>
      </c>
    </row>
    <row r="387" spans="1:14" x14ac:dyDescent="0.25">
      <c r="A387" s="2">
        <v>2</v>
      </c>
      <c r="B387" s="1" t="s">
        <v>53</v>
      </c>
      <c r="C387" s="1" t="s">
        <v>54</v>
      </c>
      <c r="D387" s="1" t="s">
        <v>56</v>
      </c>
      <c r="E387" s="11" t="s">
        <v>48</v>
      </c>
      <c r="F387" s="12">
        <v>45870</v>
      </c>
      <c r="G387" s="1" t="s">
        <v>22</v>
      </c>
      <c r="H387" s="1" t="s">
        <v>24</v>
      </c>
      <c r="I387" s="2">
        <v>3</v>
      </c>
      <c r="J387" s="3">
        <v>34199</v>
      </c>
      <c r="K387" s="3">
        <v>102597</v>
      </c>
      <c r="L387" s="3">
        <v>51815</v>
      </c>
      <c r="M387" s="3">
        <v>50782</v>
      </c>
      <c r="N387" s="4">
        <v>4</v>
      </c>
    </row>
    <row r="388" spans="1:14" x14ac:dyDescent="0.25">
      <c r="A388" s="2">
        <v>2</v>
      </c>
      <c r="B388" s="1" t="s">
        <v>53</v>
      </c>
      <c r="C388" s="1" t="s">
        <v>54</v>
      </c>
      <c r="D388" s="1" t="s">
        <v>55</v>
      </c>
      <c r="E388" s="11" t="s">
        <v>48</v>
      </c>
      <c r="F388" s="12">
        <v>45870</v>
      </c>
      <c r="G388" s="1" t="s">
        <v>22</v>
      </c>
      <c r="H388" s="1" t="s">
        <v>25</v>
      </c>
      <c r="I388" s="2">
        <v>15</v>
      </c>
      <c r="J388" s="3">
        <v>86262</v>
      </c>
      <c r="K388" s="3">
        <v>1293930</v>
      </c>
      <c r="L388" s="3">
        <v>860639</v>
      </c>
      <c r="M388" s="3">
        <v>433291</v>
      </c>
      <c r="N388" s="4">
        <v>2</v>
      </c>
    </row>
    <row r="389" spans="1:14" x14ac:dyDescent="0.25">
      <c r="A389" s="2">
        <v>2</v>
      </c>
      <c r="B389" s="1" t="s">
        <v>53</v>
      </c>
      <c r="C389" s="1" t="s">
        <v>54</v>
      </c>
      <c r="D389" s="1" t="s">
        <v>56</v>
      </c>
      <c r="E389" s="11" t="s">
        <v>48</v>
      </c>
      <c r="F389" s="12">
        <v>45870</v>
      </c>
      <c r="G389" s="1" t="s">
        <v>22</v>
      </c>
      <c r="H389" s="1" t="s">
        <v>26</v>
      </c>
      <c r="I389" s="2">
        <v>17</v>
      </c>
      <c r="J389" s="3">
        <v>46172</v>
      </c>
      <c r="K389" s="3">
        <v>784924</v>
      </c>
      <c r="L389" s="3">
        <v>375248</v>
      </c>
      <c r="M389" s="3">
        <v>409676</v>
      </c>
      <c r="N389" s="4">
        <v>2</v>
      </c>
    </row>
    <row r="390" spans="1:14" x14ac:dyDescent="0.25">
      <c r="A390" s="2">
        <v>2</v>
      </c>
      <c r="B390" s="1" t="s">
        <v>53</v>
      </c>
      <c r="C390" s="1" t="s">
        <v>54</v>
      </c>
      <c r="D390" s="1" t="s">
        <v>56</v>
      </c>
      <c r="E390" s="11" t="s">
        <v>48</v>
      </c>
      <c r="F390" s="12">
        <v>45870</v>
      </c>
      <c r="G390" s="1" t="s">
        <v>27</v>
      </c>
      <c r="H390" s="1" t="s">
        <v>28</v>
      </c>
      <c r="I390" s="2">
        <v>18</v>
      </c>
      <c r="J390" s="3">
        <v>45425</v>
      </c>
      <c r="K390" s="3">
        <v>817650</v>
      </c>
      <c r="L390" s="3">
        <v>497790</v>
      </c>
      <c r="M390" s="3">
        <v>319860</v>
      </c>
      <c r="N390" s="4">
        <v>7</v>
      </c>
    </row>
    <row r="391" spans="1:14" x14ac:dyDescent="0.25">
      <c r="A391" s="2">
        <v>2</v>
      </c>
      <c r="B391" s="1" t="s">
        <v>53</v>
      </c>
      <c r="C391" s="1" t="s">
        <v>54</v>
      </c>
      <c r="D391" s="1" t="s">
        <v>56</v>
      </c>
      <c r="E391" s="11" t="s">
        <v>48</v>
      </c>
      <c r="F391" s="12">
        <v>45870</v>
      </c>
      <c r="G391" s="1" t="s">
        <v>27</v>
      </c>
      <c r="H391" s="1" t="s">
        <v>29</v>
      </c>
      <c r="I391" s="2">
        <v>3</v>
      </c>
      <c r="J391" s="3">
        <v>48831</v>
      </c>
      <c r="K391" s="3">
        <v>146493</v>
      </c>
      <c r="L391" s="3">
        <v>78961</v>
      </c>
      <c r="M391" s="3">
        <v>67532</v>
      </c>
      <c r="N391" s="4">
        <v>12</v>
      </c>
    </row>
    <row r="392" spans="1:14" x14ac:dyDescent="0.25">
      <c r="A392" s="2">
        <v>2</v>
      </c>
      <c r="B392" s="1" t="s">
        <v>53</v>
      </c>
      <c r="C392" s="1" t="s">
        <v>54</v>
      </c>
      <c r="D392" s="1" t="s">
        <v>55</v>
      </c>
      <c r="E392" s="11" t="s">
        <v>48</v>
      </c>
      <c r="F392" s="12">
        <v>45870</v>
      </c>
      <c r="G392" s="1" t="s">
        <v>27</v>
      </c>
      <c r="H392" s="1" t="s">
        <v>30</v>
      </c>
      <c r="I392" s="2">
        <v>15</v>
      </c>
      <c r="J392" s="3">
        <v>80504</v>
      </c>
      <c r="K392" s="3">
        <v>1207560</v>
      </c>
      <c r="L392" s="3">
        <v>697827</v>
      </c>
      <c r="M392" s="3">
        <v>509733</v>
      </c>
      <c r="N392" s="4">
        <v>13</v>
      </c>
    </row>
    <row r="393" spans="1:14" x14ac:dyDescent="0.25">
      <c r="A393" s="2">
        <v>2</v>
      </c>
      <c r="B393" s="1" t="s">
        <v>53</v>
      </c>
      <c r="C393" s="1" t="s">
        <v>54</v>
      </c>
      <c r="D393" s="1" t="s">
        <v>55</v>
      </c>
      <c r="E393" s="11" t="s">
        <v>48</v>
      </c>
      <c r="F393" s="12">
        <v>45870</v>
      </c>
      <c r="G393" s="1" t="s">
        <v>27</v>
      </c>
      <c r="H393" s="1" t="s">
        <v>31</v>
      </c>
      <c r="I393" s="2">
        <v>5</v>
      </c>
      <c r="J393" s="3">
        <v>130177</v>
      </c>
      <c r="K393" s="3">
        <v>650885</v>
      </c>
      <c r="L393" s="3">
        <v>349674</v>
      </c>
      <c r="M393" s="3">
        <v>301211</v>
      </c>
      <c r="N393" s="4">
        <v>7</v>
      </c>
    </row>
    <row r="394" spans="1:14" x14ac:dyDescent="0.25">
      <c r="A394" s="2">
        <v>2</v>
      </c>
      <c r="B394" s="1" t="s">
        <v>53</v>
      </c>
      <c r="C394" s="1" t="s">
        <v>54</v>
      </c>
      <c r="D394" s="1" t="s">
        <v>55</v>
      </c>
      <c r="E394" s="11" t="s">
        <v>48</v>
      </c>
      <c r="F394" s="12">
        <v>45870</v>
      </c>
      <c r="G394" s="1" t="s">
        <v>32</v>
      </c>
      <c r="H394" s="1" t="s">
        <v>33</v>
      </c>
      <c r="I394" s="2">
        <v>3</v>
      </c>
      <c r="J394" s="3">
        <v>15874</v>
      </c>
      <c r="K394" s="3">
        <v>47622</v>
      </c>
      <c r="L394" s="3">
        <v>20899</v>
      </c>
      <c r="M394" s="3">
        <v>26723</v>
      </c>
      <c r="N394" s="4">
        <v>8</v>
      </c>
    </row>
    <row r="395" spans="1:14" x14ac:dyDescent="0.25">
      <c r="A395" s="2">
        <v>2</v>
      </c>
      <c r="B395" s="1" t="s">
        <v>53</v>
      </c>
      <c r="C395" s="1" t="s">
        <v>54</v>
      </c>
      <c r="D395" s="1" t="s">
        <v>56</v>
      </c>
      <c r="E395" s="11" t="s">
        <v>48</v>
      </c>
      <c r="F395" s="12">
        <v>45870</v>
      </c>
      <c r="G395" s="1" t="s">
        <v>32</v>
      </c>
      <c r="H395" s="1" t="s">
        <v>34</v>
      </c>
      <c r="I395" s="2">
        <v>3</v>
      </c>
      <c r="J395" s="3">
        <v>10016</v>
      </c>
      <c r="K395" s="3">
        <v>30048</v>
      </c>
      <c r="L395" s="3">
        <v>19701</v>
      </c>
      <c r="M395" s="3">
        <v>10347</v>
      </c>
      <c r="N395" s="4">
        <v>9</v>
      </c>
    </row>
    <row r="396" spans="1:14" x14ac:dyDescent="0.25">
      <c r="A396" s="2">
        <v>2</v>
      </c>
      <c r="B396" s="1" t="s">
        <v>53</v>
      </c>
      <c r="C396" s="1" t="s">
        <v>54</v>
      </c>
      <c r="D396" s="1" t="s">
        <v>55</v>
      </c>
      <c r="E396" s="11" t="s">
        <v>48</v>
      </c>
      <c r="F396" s="12">
        <v>45870</v>
      </c>
      <c r="G396" s="1" t="s">
        <v>32</v>
      </c>
      <c r="H396" s="1" t="s">
        <v>35</v>
      </c>
      <c r="I396" s="2">
        <v>9</v>
      </c>
      <c r="J396" s="3">
        <v>18774</v>
      </c>
      <c r="K396" s="3">
        <v>168966</v>
      </c>
      <c r="L396" s="3">
        <v>100800</v>
      </c>
      <c r="M396" s="3">
        <v>68166</v>
      </c>
      <c r="N396" s="4">
        <v>4</v>
      </c>
    </row>
    <row r="397" spans="1:14" x14ac:dyDescent="0.25">
      <c r="A397" s="2">
        <v>2</v>
      </c>
      <c r="B397" s="1" t="s">
        <v>53</v>
      </c>
      <c r="C397" s="1" t="s">
        <v>54</v>
      </c>
      <c r="D397" s="1" t="s">
        <v>55</v>
      </c>
      <c r="E397" s="11" t="s">
        <v>48</v>
      </c>
      <c r="F397" s="12">
        <v>45870</v>
      </c>
      <c r="G397" s="1" t="s">
        <v>32</v>
      </c>
      <c r="H397" s="1" t="s">
        <v>36</v>
      </c>
      <c r="I397" s="2">
        <v>11</v>
      </c>
      <c r="J397" s="3">
        <v>5954</v>
      </c>
      <c r="K397" s="3">
        <v>65494</v>
      </c>
      <c r="L397" s="3">
        <v>31726</v>
      </c>
      <c r="M397" s="3">
        <v>33768</v>
      </c>
      <c r="N397" s="4">
        <v>11</v>
      </c>
    </row>
    <row r="398" spans="1:14" x14ac:dyDescent="0.25">
      <c r="A398" s="2">
        <v>2</v>
      </c>
      <c r="B398" s="1" t="s">
        <v>53</v>
      </c>
      <c r="C398" s="1" t="s">
        <v>54</v>
      </c>
      <c r="D398" s="1" t="s">
        <v>55</v>
      </c>
      <c r="E398" s="11" t="s">
        <v>48</v>
      </c>
      <c r="F398" s="12">
        <v>45870</v>
      </c>
      <c r="G398" s="1" t="s">
        <v>37</v>
      </c>
      <c r="H398" s="1" t="s">
        <v>38</v>
      </c>
      <c r="I398" s="2">
        <v>15</v>
      </c>
      <c r="J398" s="3">
        <v>89669</v>
      </c>
      <c r="K398" s="3">
        <v>1345035</v>
      </c>
      <c r="L398" s="3">
        <v>642827</v>
      </c>
      <c r="M398" s="3">
        <v>702208</v>
      </c>
      <c r="N398" s="4">
        <v>4</v>
      </c>
    </row>
    <row r="399" spans="1:14" x14ac:dyDescent="0.25">
      <c r="A399" s="2">
        <v>2</v>
      </c>
      <c r="B399" s="1" t="s">
        <v>53</v>
      </c>
      <c r="C399" s="1" t="s">
        <v>54</v>
      </c>
      <c r="D399" s="1" t="s">
        <v>56</v>
      </c>
      <c r="E399" s="11" t="s">
        <v>48</v>
      </c>
      <c r="F399" s="12">
        <v>45870</v>
      </c>
      <c r="G399" s="1" t="s">
        <v>37</v>
      </c>
      <c r="H399" s="1" t="s">
        <v>39</v>
      </c>
      <c r="I399" s="2">
        <v>16</v>
      </c>
      <c r="J399" s="3">
        <v>132217</v>
      </c>
      <c r="K399" s="3">
        <v>2115472</v>
      </c>
      <c r="L399" s="3">
        <v>1184200</v>
      </c>
      <c r="M399" s="3">
        <v>931272</v>
      </c>
      <c r="N399" s="4">
        <v>4</v>
      </c>
    </row>
    <row r="400" spans="1:14" x14ac:dyDescent="0.25">
      <c r="A400" s="2">
        <v>2</v>
      </c>
      <c r="B400" s="1" t="s">
        <v>53</v>
      </c>
      <c r="C400" s="1" t="s">
        <v>54</v>
      </c>
      <c r="D400" s="1" t="s">
        <v>55</v>
      </c>
      <c r="E400" s="11" t="s">
        <v>48</v>
      </c>
      <c r="F400" s="12">
        <v>45870</v>
      </c>
      <c r="G400" s="1" t="s">
        <v>37</v>
      </c>
      <c r="H400" s="1" t="s">
        <v>40</v>
      </c>
      <c r="I400" s="2">
        <v>16</v>
      </c>
      <c r="J400" s="3">
        <v>23020</v>
      </c>
      <c r="K400" s="3">
        <v>368320</v>
      </c>
      <c r="L400" s="3">
        <v>246164</v>
      </c>
      <c r="M400" s="3">
        <v>122156</v>
      </c>
      <c r="N400" s="4">
        <v>12</v>
      </c>
    </row>
    <row r="401" spans="1:14" x14ac:dyDescent="0.25">
      <c r="A401" s="2">
        <v>2</v>
      </c>
      <c r="B401" s="1" t="s">
        <v>53</v>
      </c>
      <c r="C401" s="1" t="s">
        <v>54</v>
      </c>
      <c r="D401" s="1" t="s">
        <v>55</v>
      </c>
      <c r="E401" s="11" t="s">
        <v>48</v>
      </c>
      <c r="F401" s="12">
        <v>45870</v>
      </c>
      <c r="G401" s="1" t="s">
        <v>37</v>
      </c>
      <c r="H401" s="1" t="s">
        <v>41</v>
      </c>
      <c r="I401" s="2">
        <v>17</v>
      </c>
      <c r="J401" s="3">
        <v>123537</v>
      </c>
      <c r="K401" s="3">
        <v>2100129</v>
      </c>
      <c r="L401" s="3">
        <v>1152013</v>
      </c>
      <c r="M401" s="3">
        <v>948116</v>
      </c>
      <c r="N401" s="4">
        <v>13</v>
      </c>
    </row>
    <row r="402" spans="1:14" x14ac:dyDescent="0.25">
      <c r="A402" s="2">
        <v>2</v>
      </c>
      <c r="B402" s="1" t="s">
        <v>53</v>
      </c>
      <c r="C402" s="1" t="s">
        <v>54</v>
      </c>
      <c r="D402" s="1" t="s">
        <v>56</v>
      </c>
      <c r="E402" s="11" t="s">
        <v>49</v>
      </c>
      <c r="F402" s="12">
        <v>45901</v>
      </c>
      <c r="G402" s="1" t="s">
        <v>16</v>
      </c>
      <c r="H402" s="1" t="s">
        <v>17</v>
      </c>
      <c r="I402" s="2">
        <v>19</v>
      </c>
      <c r="J402" s="3">
        <v>39129</v>
      </c>
      <c r="K402" s="3">
        <v>743451</v>
      </c>
      <c r="L402" s="3">
        <v>424804</v>
      </c>
      <c r="M402" s="3">
        <v>318647</v>
      </c>
      <c r="N402" s="4">
        <v>7</v>
      </c>
    </row>
    <row r="403" spans="1:14" x14ac:dyDescent="0.25">
      <c r="A403" s="2">
        <v>2</v>
      </c>
      <c r="B403" s="1" t="s">
        <v>53</v>
      </c>
      <c r="C403" s="1" t="s">
        <v>54</v>
      </c>
      <c r="D403" s="1" t="s">
        <v>56</v>
      </c>
      <c r="E403" s="11" t="s">
        <v>49</v>
      </c>
      <c r="F403" s="12">
        <v>45901</v>
      </c>
      <c r="G403" s="1" t="s">
        <v>16</v>
      </c>
      <c r="H403" s="1" t="s">
        <v>19</v>
      </c>
      <c r="I403" s="2">
        <v>2</v>
      </c>
      <c r="J403" s="3">
        <v>91719</v>
      </c>
      <c r="K403" s="3">
        <v>183438</v>
      </c>
      <c r="L403" s="3">
        <v>104508</v>
      </c>
      <c r="M403" s="3">
        <v>78930</v>
      </c>
      <c r="N403" s="4">
        <v>12</v>
      </c>
    </row>
    <row r="404" spans="1:14" x14ac:dyDescent="0.25">
      <c r="A404" s="2">
        <v>2</v>
      </c>
      <c r="B404" s="1" t="s">
        <v>53</v>
      </c>
      <c r="C404" s="1" t="s">
        <v>54</v>
      </c>
      <c r="D404" s="1" t="s">
        <v>55</v>
      </c>
      <c r="E404" s="11" t="s">
        <v>49</v>
      </c>
      <c r="F404" s="12">
        <v>45901</v>
      </c>
      <c r="G404" s="1" t="s">
        <v>16</v>
      </c>
      <c r="H404" s="1" t="s">
        <v>20</v>
      </c>
      <c r="I404" s="2">
        <v>1</v>
      </c>
      <c r="J404" s="3">
        <v>144165</v>
      </c>
      <c r="K404" s="3">
        <v>144165</v>
      </c>
      <c r="L404" s="3">
        <v>80210</v>
      </c>
      <c r="M404" s="3">
        <v>63955</v>
      </c>
      <c r="N404" s="4">
        <v>7</v>
      </c>
    </row>
    <row r="405" spans="1:14" x14ac:dyDescent="0.25">
      <c r="A405" s="2">
        <v>2</v>
      </c>
      <c r="B405" s="1" t="s">
        <v>53</v>
      </c>
      <c r="C405" s="1" t="s">
        <v>54</v>
      </c>
      <c r="D405" s="1" t="s">
        <v>56</v>
      </c>
      <c r="E405" s="11" t="s">
        <v>49</v>
      </c>
      <c r="F405" s="12">
        <v>45901</v>
      </c>
      <c r="G405" s="1" t="s">
        <v>16</v>
      </c>
      <c r="H405" s="1" t="s">
        <v>21</v>
      </c>
      <c r="I405" s="2">
        <v>1</v>
      </c>
      <c r="J405" s="3">
        <v>116826</v>
      </c>
      <c r="K405" s="3">
        <v>116826</v>
      </c>
      <c r="L405" s="3">
        <v>77127</v>
      </c>
      <c r="M405" s="3">
        <v>39699</v>
      </c>
      <c r="N405" s="4">
        <v>8</v>
      </c>
    </row>
    <row r="406" spans="1:14" x14ac:dyDescent="0.25">
      <c r="A406" s="2">
        <v>2</v>
      </c>
      <c r="B406" s="1" t="s">
        <v>53</v>
      </c>
      <c r="C406" s="1" t="s">
        <v>54</v>
      </c>
      <c r="D406" s="1" t="s">
        <v>55</v>
      </c>
      <c r="E406" s="11" t="s">
        <v>49</v>
      </c>
      <c r="F406" s="12">
        <v>45901</v>
      </c>
      <c r="G406" s="1" t="s">
        <v>22</v>
      </c>
      <c r="H406" s="1" t="s">
        <v>23</v>
      </c>
      <c r="I406" s="2">
        <v>13</v>
      </c>
      <c r="J406" s="3">
        <v>53130</v>
      </c>
      <c r="K406" s="3">
        <v>690690</v>
      </c>
      <c r="L406" s="3">
        <v>325734</v>
      </c>
      <c r="M406" s="3">
        <v>364956</v>
      </c>
      <c r="N406" s="4">
        <v>4</v>
      </c>
    </row>
    <row r="407" spans="1:14" x14ac:dyDescent="0.25">
      <c r="A407" s="2">
        <v>2</v>
      </c>
      <c r="B407" s="1" t="s">
        <v>53</v>
      </c>
      <c r="C407" s="1" t="s">
        <v>54</v>
      </c>
      <c r="D407" s="1" t="s">
        <v>56</v>
      </c>
      <c r="E407" s="11" t="s">
        <v>49</v>
      </c>
      <c r="F407" s="12">
        <v>45901</v>
      </c>
      <c r="G407" s="1" t="s">
        <v>22</v>
      </c>
      <c r="H407" s="1" t="s">
        <v>24</v>
      </c>
      <c r="I407" s="2">
        <v>10</v>
      </c>
      <c r="J407" s="3">
        <v>147331</v>
      </c>
      <c r="K407" s="3">
        <v>1473310</v>
      </c>
      <c r="L407" s="3">
        <v>862745</v>
      </c>
      <c r="M407" s="3">
        <v>610565</v>
      </c>
      <c r="N407" s="4">
        <v>5</v>
      </c>
    </row>
    <row r="408" spans="1:14" x14ac:dyDescent="0.25">
      <c r="A408" s="2">
        <v>2</v>
      </c>
      <c r="B408" s="1" t="s">
        <v>53</v>
      </c>
      <c r="C408" s="1" t="s">
        <v>54</v>
      </c>
      <c r="D408" s="1" t="s">
        <v>56</v>
      </c>
      <c r="E408" s="11" t="s">
        <v>49</v>
      </c>
      <c r="F408" s="12">
        <v>45901</v>
      </c>
      <c r="G408" s="1" t="s">
        <v>22</v>
      </c>
      <c r="H408" s="1" t="s">
        <v>25</v>
      </c>
      <c r="I408" s="2">
        <v>7</v>
      </c>
      <c r="J408" s="3">
        <v>83620</v>
      </c>
      <c r="K408" s="3">
        <v>585340</v>
      </c>
      <c r="L408" s="3">
        <v>388818</v>
      </c>
      <c r="M408" s="3">
        <v>196522</v>
      </c>
      <c r="N408" s="4">
        <v>9</v>
      </c>
    </row>
    <row r="409" spans="1:14" x14ac:dyDescent="0.25">
      <c r="A409" s="2">
        <v>2</v>
      </c>
      <c r="B409" s="1" t="s">
        <v>53</v>
      </c>
      <c r="C409" s="1" t="s">
        <v>54</v>
      </c>
      <c r="D409" s="1" t="s">
        <v>55</v>
      </c>
      <c r="E409" s="11" t="s">
        <v>49</v>
      </c>
      <c r="F409" s="12">
        <v>45901</v>
      </c>
      <c r="G409" s="1" t="s">
        <v>22</v>
      </c>
      <c r="H409" s="1" t="s">
        <v>26</v>
      </c>
      <c r="I409" s="2">
        <v>19</v>
      </c>
      <c r="J409" s="3">
        <v>74302</v>
      </c>
      <c r="K409" s="3">
        <v>1411738</v>
      </c>
      <c r="L409" s="3">
        <v>914446</v>
      </c>
      <c r="M409" s="3">
        <v>497292</v>
      </c>
      <c r="N409" s="4">
        <v>9</v>
      </c>
    </row>
    <row r="410" spans="1:14" x14ac:dyDescent="0.25">
      <c r="A410" s="2">
        <v>2</v>
      </c>
      <c r="B410" s="1" t="s">
        <v>53</v>
      </c>
      <c r="C410" s="1" t="s">
        <v>54</v>
      </c>
      <c r="D410" s="1" t="s">
        <v>56</v>
      </c>
      <c r="E410" s="11" t="s">
        <v>49</v>
      </c>
      <c r="F410" s="12">
        <v>45901</v>
      </c>
      <c r="G410" s="1" t="s">
        <v>27</v>
      </c>
      <c r="H410" s="1" t="s">
        <v>28</v>
      </c>
      <c r="I410" s="2">
        <v>11</v>
      </c>
      <c r="J410" s="3">
        <v>97236</v>
      </c>
      <c r="K410" s="3">
        <v>1069596</v>
      </c>
      <c r="L410" s="3">
        <v>666414</v>
      </c>
      <c r="M410" s="3">
        <v>403182</v>
      </c>
      <c r="N410" s="4">
        <v>14</v>
      </c>
    </row>
    <row r="411" spans="1:14" x14ac:dyDescent="0.25">
      <c r="A411" s="2">
        <v>2</v>
      </c>
      <c r="B411" s="1" t="s">
        <v>53</v>
      </c>
      <c r="C411" s="1" t="s">
        <v>54</v>
      </c>
      <c r="D411" s="1" t="s">
        <v>56</v>
      </c>
      <c r="E411" s="11" t="s">
        <v>49</v>
      </c>
      <c r="F411" s="12">
        <v>45901</v>
      </c>
      <c r="G411" s="1" t="s">
        <v>27</v>
      </c>
      <c r="H411" s="1" t="s">
        <v>29</v>
      </c>
      <c r="I411" s="2">
        <v>18</v>
      </c>
      <c r="J411" s="3">
        <v>38787</v>
      </c>
      <c r="K411" s="3">
        <v>698166</v>
      </c>
      <c r="L411" s="3">
        <v>395758</v>
      </c>
      <c r="M411" s="3">
        <v>302408</v>
      </c>
      <c r="N411" s="4">
        <v>12</v>
      </c>
    </row>
    <row r="412" spans="1:14" x14ac:dyDescent="0.25">
      <c r="A412" s="2">
        <v>2</v>
      </c>
      <c r="B412" s="1" t="s">
        <v>53</v>
      </c>
      <c r="C412" s="1" t="s">
        <v>54</v>
      </c>
      <c r="D412" s="1" t="s">
        <v>56</v>
      </c>
      <c r="E412" s="11" t="s">
        <v>49</v>
      </c>
      <c r="F412" s="12">
        <v>45901</v>
      </c>
      <c r="G412" s="1" t="s">
        <v>27</v>
      </c>
      <c r="H412" s="1" t="s">
        <v>30</v>
      </c>
      <c r="I412" s="2">
        <v>12</v>
      </c>
      <c r="J412" s="3">
        <v>53062</v>
      </c>
      <c r="K412" s="3">
        <v>636744</v>
      </c>
      <c r="L412" s="3">
        <v>291590</v>
      </c>
      <c r="M412" s="3">
        <v>345154</v>
      </c>
      <c r="N412" s="4">
        <v>12</v>
      </c>
    </row>
    <row r="413" spans="1:14" x14ac:dyDescent="0.25">
      <c r="A413" s="2">
        <v>2</v>
      </c>
      <c r="B413" s="1" t="s">
        <v>53</v>
      </c>
      <c r="C413" s="1" t="s">
        <v>54</v>
      </c>
      <c r="D413" s="1" t="s">
        <v>56</v>
      </c>
      <c r="E413" s="11" t="s">
        <v>49</v>
      </c>
      <c r="F413" s="12">
        <v>45901</v>
      </c>
      <c r="G413" s="1" t="s">
        <v>27</v>
      </c>
      <c r="H413" s="1" t="s">
        <v>31</v>
      </c>
      <c r="I413" s="2">
        <v>14</v>
      </c>
      <c r="J413" s="3">
        <v>95418</v>
      </c>
      <c r="K413" s="3">
        <v>1335852</v>
      </c>
      <c r="L413" s="3">
        <v>927556</v>
      </c>
      <c r="M413" s="3">
        <v>408296</v>
      </c>
      <c r="N413" s="4">
        <v>0</v>
      </c>
    </row>
    <row r="414" spans="1:14" x14ac:dyDescent="0.25">
      <c r="A414" s="2">
        <v>2</v>
      </c>
      <c r="B414" s="1" t="s">
        <v>53</v>
      </c>
      <c r="C414" s="1" t="s">
        <v>54</v>
      </c>
      <c r="D414" s="1" t="s">
        <v>56</v>
      </c>
      <c r="E414" s="11" t="s">
        <v>49</v>
      </c>
      <c r="F414" s="12">
        <v>45901</v>
      </c>
      <c r="G414" s="1" t="s">
        <v>32</v>
      </c>
      <c r="H414" s="1" t="s">
        <v>33</v>
      </c>
      <c r="I414" s="2">
        <v>8</v>
      </c>
      <c r="J414" s="3">
        <v>12009</v>
      </c>
      <c r="K414" s="3">
        <v>96072</v>
      </c>
      <c r="L414" s="3">
        <v>56701</v>
      </c>
      <c r="M414" s="3">
        <v>39371</v>
      </c>
      <c r="N414" s="4">
        <v>7</v>
      </c>
    </row>
    <row r="415" spans="1:14" x14ac:dyDescent="0.25">
      <c r="A415" s="2">
        <v>2</v>
      </c>
      <c r="B415" s="1" t="s">
        <v>53</v>
      </c>
      <c r="C415" s="1" t="s">
        <v>54</v>
      </c>
      <c r="D415" s="1" t="s">
        <v>55</v>
      </c>
      <c r="E415" s="11" t="s">
        <v>49</v>
      </c>
      <c r="F415" s="12">
        <v>45901</v>
      </c>
      <c r="G415" s="1" t="s">
        <v>32</v>
      </c>
      <c r="H415" s="1" t="s">
        <v>34</v>
      </c>
      <c r="I415" s="2">
        <v>13</v>
      </c>
      <c r="J415" s="3">
        <v>17962</v>
      </c>
      <c r="K415" s="3">
        <v>233506</v>
      </c>
      <c r="L415" s="3">
        <v>102400</v>
      </c>
      <c r="M415" s="3">
        <v>131106</v>
      </c>
      <c r="N415" s="4">
        <v>2</v>
      </c>
    </row>
    <row r="416" spans="1:14" x14ac:dyDescent="0.25">
      <c r="A416" s="2">
        <v>2</v>
      </c>
      <c r="B416" s="1" t="s">
        <v>53</v>
      </c>
      <c r="C416" s="1" t="s">
        <v>54</v>
      </c>
      <c r="D416" s="1" t="s">
        <v>56</v>
      </c>
      <c r="E416" s="11" t="s">
        <v>49</v>
      </c>
      <c r="F416" s="12">
        <v>45901</v>
      </c>
      <c r="G416" s="1" t="s">
        <v>32</v>
      </c>
      <c r="H416" s="1" t="s">
        <v>35</v>
      </c>
      <c r="I416" s="2">
        <v>7</v>
      </c>
      <c r="J416" s="3">
        <v>17873</v>
      </c>
      <c r="K416" s="3">
        <v>125111</v>
      </c>
      <c r="L416" s="3">
        <v>66267</v>
      </c>
      <c r="M416" s="3">
        <v>58844</v>
      </c>
      <c r="N416" s="4">
        <v>1</v>
      </c>
    </row>
    <row r="417" spans="1:14" x14ac:dyDescent="0.25">
      <c r="A417" s="2">
        <v>2</v>
      </c>
      <c r="B417" s="1" t="s">
        <v>53</v>
      </c>
      <c r="C417" s="1" t="s">
        <v>54</v>
      </c>
      <c r="D417" s="1" t="s">
        <v>55</v>
      </c>
      <c r="E417" s="11" t="s">
        <v>49</v>
      </c>
      <c r="F417" s="12">
        <v>45901</v>
      </c>
      <c r="G417" s="1" t="s">
        <v>32</v>
      </c>
      <c r="H417" s="1" t="s">
        <v>36</v>
      </c>
      <c r="I417" s="2">
        <v>15</v>
      </c>
      <c r="J417" s="3">
        <v>14437</v>
      </c>
      <c r="K417" s="3">
        <v>216555</v>
      </c>
      <c r="L417" s="3">
        <v>135587</v>
      </c>
      <c r="M417" s="3">
        <v>80968</v>
      </c>
      <c r="N417" s="4">
        <v>5</v>
      </c>
    </row>
    <row r="418" spans="1:14" x14ac:dyDescent="0.25">
      <c r="A418" s="2">
        <v>2</v>
      </c>
      <c r="B418" s="1" t="s">
        <v>53</v>
      </c>
      <c r="C418" s="1" t="s">
        <v>54</v>
      </c>
      <c r="D418" s="1" t="s">
        <v>55</v>
      </c>
      <c r="E418" s="11" t="s">
        <v>49</v>
      </c>
      <c r="F418" s="12">
        <v>45901</v>
      </c>
      <c r="G418" s="1" t="s">
        <v>37</v>
      </c>
      <c r="H418" s="1" t="s">
        <v>38</v>
      </c>
      <c r="I418" s="2">
        <v>4</v>
      </c>
      <c r="J418" s="3">
        <v>92595</v>
      </c>
      <c r="K418" s="3">
        <v>370380</v>
      </c>
      <c r="L418" s="3">
        <v>224585</v>
      </c>
      <c r="M418" s="3">
        <v>145795</v>
      </c>
      <c r="N418" s="4">
        <v>1</v>
      </c>
    </row>
    <row r="419" spans="1:14" x14ac:dyDescent="0.25">
      <c r="A419" s="2">
        <v>2</v>
      </c>
      <c r="B419" s="1" t="s">
        <v>53</v>
      </c>
      <c r="C419" s="1" t="s">
        <v>54</v>
      </c>
      <c r="D419" s="1" t="s">
        <v>55</v>
      </c>
      <c r="E419" s="11" t="s">
        <v>49</v>
      </c>
      <c r="F419" s="12">
        <v>45901</v>
      </c>
      <c r="G419" s="1" t="s">
        <v>37</v>
      </c>
      <c r="H419" s="1" t="s">
        <v>39</v>
      </c>
      <c r="I419" s="2">
        <v>4</v>
      </c>
      <c r="J419" s="3">
        <v>147706</v>
      </c>
      <c r="K419" s="3">
        <v>590824</v>
      </c>
      <c r="L419" s="3">
        <v>265819</v>
      </c>
      <c r="M419" s="3">
        <v>325005</v>
      </c>
      <c r="N419" s="4">
        <v>11</v>
      </c>
    </row>
    <row r="420" spans="1:14" x14ac:dyDescent="0.25">
      <c r="A420" s="2">
        <v>2</v>
      </c>
      <c r="B420" s="1" t="s">
        <v>53</v>
      </c>
      <c r="C420" s="1" t="s">
        <v>54</v>
      </c>
      <c r="D420" s="1" t="s">
        <v>56</v>
      </c>
      <c r="E420" s="11" t="s">
        <v>49</v>
      </c>
      <c r="F420" s="12">
        <v>45901</v>
      </c>
      <c r="G420" s="1" t="s">
        <v>37</v>
      </c>
      <c r="H420" s="1" t="s">
        <v>40</v>
      </c>
      <c r="I420" s="2">
        <v>17</v>
      </c>
      <c r="J420" s="3">
        <v>93609</v>
      </c>
      <c r="K420" s="3">
        <v>1591353</v>
      </c>
      <c r="L420" s="3">
        <v>862628</v>
      </c>
      <c r="M420" s="3">
        <v>728725</v>
      </c>
      <c r="N420" s="4">
        <v>5</v>
      </c>
    </row>
    <row r="421" spans="1:14" x14ac:dyDescent="0.25">
      <c r="A421" s="2">
        <v>2</v>
      </c>
      <c r="B421" s="1" t="s">
        <v>53</v>
      </c>
      <c r="C421" s="1" t="s">
        <v>54</v>
      </c>
      <c r="D421" s="1" t="s">
        <v>56</v>
      </c>
      <c r="E421" s="11" t="s">
        <v>49</v>
      </c>
      <c r="F421" s="12">
        <v>45901</v>
      </c>
      <c r="G421" s="1" t="s">
        <v>37</v>
      </c>
      <c r="H421" s="1" t="s">
        <v>41</v>
      </c>
      <c r="I421" s="2">
        <v>18</v>
      </c>
      <c r="J421" s="3">
        <v>87889</v>
      </c>
      <c r="K421" s="3">
        <v>1582002</v>
      </c>
      <c r="L421" s="3">
        <v>1102725</v>
      </c>
      <c r="M421" s="3">
        <v>479277</v>
      </c>
      <c r="N421" s="4">
        <v>14</v>
      </c>
    </row>
    <row r="422" spans="1:14" x14ac:dyDescent="0.25">
      <c r="A422" s="2">
        <v>2</v>
      </c>
      <c r="B422" s="1" t="s">
        <v>53</v>
      </c>
      <c r="C422" s="1" t="s">
        <v>54</v>
      </c>
      <c r="D422" s="1" t="s">
        <v>56</v>
      </c>
      <c r="E422" s="11" t="s">
        <v>50</v>
      </c>
      <c r="F422" s="12">
        <v>45931</v>
      </c>
      <c r="G422" s="1" t="s">
        <v>16</v>
      </c>
      <c r="H422" s="1" t="s">
        <v>17</v>
      </c>
      <c r="I422" s="2">
        <v>12</v>
      </c>
      <c r="J422" s="3">
        <v>97475</v>
      </c>
      <c r="K422" s="3">
        <v>1169700</v>
      </c>
      <c r="L422" s="3">
        <v>695120</v>
      </c>
      <c r="M422" s="3">
        <v>474580</v>
      </c>
      <c r="N422" s="4">
        <v>3</v>
      </c>
    </row>
    <row r="423" spans="1:14" x14ac:dyDescent="0.25">
      <c r="A423" s="2">
        <v>2</v>
      </c>
      <c r="B423" s="1" t="s">
        <v>53</v>
      </c>
      <c r="C423" s="1" t="s">
        <v>54</v>
      </c>
      <c r="D423" s="1" t="s">
        <v>56</v>
      </c>
      <c r="E423" s="11" t="s">
        <v>50</v>
      </c>
      <c r="F423" s="12">
        <v>45931</v>
      </c>
      <c r="G423" s="1" t="s">
        <v>16</v>
      </c>
      <c r="H423" s="1" t="s">
        <v>19</v>
      </c>
      <c r="I423" s="2">
        <v>12</v>
      </c>
      <c r="J423" s="3">
        <v>107046</v>
      </c>
      <c r="K423" s="3">
        <v>1284552</v>
      </c>
      <c r="L423" s="3">
        <v>539110</v>
      </c>
      <c r="M423" s="3">
        <v>745442</v>
      </c>
      <c r="N423" s="4">
        <v>0</v>
      </c>
    </row>
    <row r="424" spans="1:14" x14ac:dyDescent="0.25">
      <c r="A424" s="2">
        <v>2</v>
      </c>
      <c r="B424" s="1" t="s">
        <v>53</v>
      </c>
      <c r="C424" s="1" t="s">
        <v>54</v>
      </c>
      <c r="D424" s="1" t="s">
        <v>55</v>
      </c>
      <c r="E424" s="11" t="s">
        <v>50</v>
      </c>
      <c r="F424" s="12">
        <v>45931</v>
      </c>
      <c r="G424" s="1" t="s">
        <v>16</v>
      </c>
      <c r="H424" s="1" t="s">
        <v>20</v>
      </c>
      <c r="I424" s="2">
        <v>6</v>
      </c>
      <c r="J424" s="3">
        <v>51598</v>
      </c>
      <c r="K424" s="3">
        <v>309588</v>
      </c>
      <c r="L424" s="3">
        <v>169218</v>
      </c>
      <c r="M424" s="3">
        <v>140370</v>
      </c>
      <c r="N424" s="4">
        <v>2</v>
      </c>
    </row>
    <row r="425" spans="1:14" x14ac:dyDescent="0.25">
      <c r="A425" s="2">
        <v>2</v>
      </c>
      <c r="B425" s="1" t="s">
        <v>53</v>
      </c>
      <c r="C425" s="1" t="s">
        <v>54</v>
      </c>
      <c r="D425" s="1" t="s">
        <v>56</v>
      </c>
      <c r="E425" s="11" t="s">
        <v>50</v>
      </c>
      <c r="F425" s="12">
        <v>45931</v>
      </c>
      <c r="G425" s="1" t="s">
        <v>16</v>
      </c>
      <c r="H425" s="1" t="s">
        <v>21</v>
      </c>
      <c r="I425" s="2">
        <v>11</v>
      </c>
      <c r="J425" s="3">
        <v>49241</v>
      </c>
      <c r="K425" s="3">
        <v>541651</v>
      </c>
      <c r="L425" s="3">
        <v>216827</v>
      </c>
      <c r="M425" s="3">
        <v>324824</v>
      </c>
      <c r="N425" s="4">
        <v>1</v>
      </c>
    </row>
    <row r="426" spans="1:14" x14ac:dyDescent="0.25">
      <c r="A426" s="2">
        <v>2</v>
      </c>
      <c r="B426" s="1" t="s">
        <v>53</v>
      </c>
      <c r="C426" s="1" t="s">
        <v>54</v>
      </c>
      <c r="D426" s="1" t="s">
        <v>55</v>
      </c>
      <c r="E426" s="11" t="s">
        <v>50</v>
      </c>
      <c r="F426" s="12">
        <v>45931</v>
      </c>
      <c r="G426" s="1" t="s">
        <v>22</v>
      </c>
      <c r="H426" s="1" t="s">
        <v>23</v>
      </c>
      <c r="I426" s="2">
        <v>14</v>
      </c>
      <c r="J426" s="3">
        <v>33025</v>
      </c>
      <c r="K426" s="3">
        <v>462350</v>
      </c>
      <c r="L426" s="3">
        <v>323246</v>
      </c>
      <c r="M426" s="3">
        <v>139104</v>
      </c>
      <c r="N426" s="4">
        <v>0</v>
      </c>
    </row>
    <row r="427" spans="1:14" x14ac:dyDescent="0.25">
      <c r="A427" s="2">
        <v>2</v>
      </c>
      <c r="B427" s="1" t="s">
        <v>53</v>
      </c>
      <c r="C427" s="1" t="s">
        <v>54</v>
      </c>
      <c r="D427" s="1" t="s">
        <v>56</v>
      </c>
      <c r="E427" s="11" t="s">
        <v>50</v>
      </c>
      <c r="F427" s="12">
        <v>45931</v>
      </c>
      <c r="G427" s="1" t="s">
        <v>22</v>
      </c>
      <c r="H427" s="1" t="s">
        <v>24</v>
      </c>
      <c r="I427" s="2">
        <v>3</v>
      </c>
      <c r="J427" s="3">
        <v>26540</v>
      </c>
      <c r="K427" s="3">
        <v>79620</v>
      </c>
      <c r="L427" s="3">
        <v>52251</v>
      </c>
      <c r="M427" s="3">
        <v>27369</v>
      </c>
      <c r="N427" s="4">
        <v>14</v>
      </c>
    </row>
    <row r="428" spans="1:14" x14ac:dyDescent="0.25">
      <c r="A428" s="2">
        <v>2</v>
      </c>
      <c r="B428" s="1" t="s">
        <v>53</v>
      </c>
      <c r="C428" s="1" t="s">
        <v>54</v>
      </c>
      <c r="D428" s="1" t="s">
        <v>56</v>
      </c>
      <c r="E428" s="11" t="s">
        <v>50</v>
      </c>
      <c r="F428" s="12">
        <v>45931</v>
      </c>
      <c r="G428" s="1" t="s">
        <v>22</v>
      </c>
      <c r="H428" s="1" t="s">
        <v>25</v>
      </c>
      <c r="I428" s="2">
        <v>11</v>
      </c>
      <c r="J428" s="3">
        <v>43411</v>
      </c>
      <c r="K428" s="3">
        <v>477521</v>
      </c>
      <c r="L428" s="3">
        <v>311336</v>
      </c>
      <c r="M428" s="3">
        <v>166185</v>
      </c>
      <c r="N428" s="4">
        <v>14</v>
      </c>
    </row>
    <row r="429" spans="1:14" x14ac:dyDescent="0.25">
      <c r="A429" s="2">
        <v>2</v>
      </c>
      <c r="B429" s="1" t="s">
        <v>53</v>
      </c>
      <c r="C429" s="1" t="s">
        <v>54</v>
      </c>
      <c r="D429" s="1" t="s">
        <v>55</v>
      </c>
      <c r="E429" s="11" t="s">
        <v>50</v>
      </c>
      <c r="F429" s="12">
        <v>45931</v>
      </c>
      <c r="G429" s="1" t="s">
        <v>22</v>
      </c>
      <c r="H429" s="1" t="s">
        <v>26</v>
      </c>
      <c r="I429" s="2">
        <v>14</v>
      </c>
      <c r="J429" s="3">
        <v>72307</v>
      </c>
      <c r="K429" s="3">
        <v>1012298</v>
      </c>
      <c r="L429" s="3">
        <v>603687</v>
      </c>
      <c r="M429" s="3">
        <v>408611</v>
      </c>
      <c r="N429" s="4">
        <v>10</v>
      </c>
    </row>
    <row r="430" spans="1:14" x14ac:dyDescent="0.25">
      <c r="A430" s="2">
        <v>2</v>
      </c>
      <c r="B430" s="1" t="s">
        <v>53</v>
      </c>
      <c r="C430" s="1" t="s">
        <v>54</v>
      </c>
      <c r="D430" s="1" t="s">
        <v>55</v>
      </c>
      <c r="E430" s="11" t="s">
        <v>50</v>
      </c>
      <c r="F430" s="12">
        <v>45931</v>
      </c>
      <c r="G430" s="1" t="s">
        <v>27</v>
      </c>
      <c r="H430" s="1" t="s">
        <v>28</v>
      </c>
      <c r="I430" s="2">
        <v>3</v>
      </c>
      <c r="J430" s="3">
        <v>137584</v>
      </c>
      <c r="K430" s="3">
        <v>412752</v>
      </c>
      <c r="L430" s="3">
        <v>284374</v>
      </c>
      <c r="M430" s="3">
        <v>128378</v>
      </c>
      <c r="N430" s="4">
        <v>7</v>
      </c>
    </row>
    <row r="431" spans="1:14" x14ac:dyDescent="0.25">
      <c r="A431" s="2">
        <v>2</v>
      </c>
      <c r="B431" s="1" t="s">
        <v>53</v>
      </c>
      <c r="C431" s="1" t="s">
        <v>54</v>
      </c>
      <c r="D431" s="1" t="s">
        <v>56</v>
      </c>
      <c r="E431" s="11" t="s">
        <v>50</v>
      </c>
      <c r="F431" s="12">
        <v>45931</v>
      </c>
      <c r="G431" s="1" t="s">
        <v>27</v>
      </c>
      <c r="H431" s="1" t="s">
        <v>29</v>
      </c>
      <c r="I431" s="2">
        <v>15</v>
      </c>
      <c r="J431" s="3">
        <v>101871</v>
      </c>
      <c r="K431" s="3">
        <v>1528065</v>
      </c>
      <c r="L431" s="3">
        <v>1004256</v>
      </c>
      <c r="M431" s="3">
        <v>523809</v>
      </c>
      <c r="N431" s="4">
        <v>3</v>
      </c>
    </row>
    <row r="432" spans="1:14" x14ac:dyDescent="0.25">
      <c r="A432" s="2">
        <v>2</v>
      </c>
      <c r="B432" s="1" t="s">
        <v>53</v>
      </c>
      <c r="C432" s="1" t="s">
        <v>54</v>
      </c>
      <c r="D432" s="1" t="s">
        <v>55</v>
      </c>
      <c r="E432" s="11" t="s">
        <v>50</v>
      </c>
      <c r="F432" s="12">
        <v>45931</v>
      </c>
      <c r="G432" s="1" t="s">
        <v>27</v>
      </c>
      <c r="H432" s="1" t="s">
        <v>30</v>
      </c>
      <c r="I432" s="2">
        <v>6</v>
      </c>
      <c r="J432" s="3">
        <v>119986</v>
      </c>
      <c r="K432" s="3">
        <v>719916</v>
      </c>
      <c r="L432" s="3">
        <v>347189</v>
      </c>
      <c r="M432" s="3">
        <v>372727</v>
      </c>
      <c r="N432" s="4">
        <v>2</v>
      </c>
    </row>
    <row r="433" spans="1:14" x14ac:dyDescent="0.25">
      <c r="A433" s="2">
        <v>2</v>
      </c>
      <c r="B433" s="1" t="s">
        <v>53</v>
      </c>
      <c r="C433" s="1" t="s">
        <v>54</v>
      </c>
      <c r="D433" s="1" t="s">
        <v>56</v>
      </c>
      <c r="E433" s="11" t="s">
        <v>50</v>
      </c>
      <c r="F433" s="12">
        <v>45931</v>
      </c>
      <c r="G433" s="1" t="s">
        <v>27</v>
      </c>
      <c r="H433" s="1" t="s">
        <v>31</v>
      </c>
      <c r="I433" s="2">
        <v>1</v>
      </c>
      <c r="J433" s="3">
        <v>32857</v>
      </c>
      <c r="K433" s="3">
        <v>32857</v>
      </c>
      <c r="L433" s="3">
        <v>21956</v>
      </c>
      <c r="M433" s="3">
        <v>10901</v>
      </c>
      <c r="N433" s="4">
        <v>14</v>
      </c>
    </row>
    <row r="434" spans="1:14" x14ac:dyDescent="0.25">
      <c r="A434" s="2">
        <v>2</v>
      </c>
      <c r="B434" s="1" t="s">
        <v>53</v>
      </c>
      <c r="C434" s="1" t="s">
        <v>54</v>
      </c>
      <c r="D434" s="1" t="s">
        <v>56</v>
      </c>
      <c r="E434" s="11" t="s">
        <v>50</v>
      </c>
      <c r="F434" s="12">
        <v>45931</v>
      </c>
      <c r="G434" s="1" t="s">
        <v>32</v>
      </c>
      <c r="H434" s="1" t="s">
        <v>33</v>
      </c>
      <c r="I434" s="2">
        <v>2</v>
      </c>
      <c r="J434" s="3">
        <v>6980</v>
      </c>
      <c r="K434" s="3">
        <v>13960</v>
      </c>
      <c r="L434" s="3">
        <v>6423</v>
      </c>
      <c r="M434" s="3">
        <v>7537</v>
      </c>
      <c r="N434" s="4">
        <v>0</v>
      </c>
    </row>
    <row r="435" spans="1:14" x14ac:dyDescent="0.25">
      <c r="A435" s="2">
        <v>2</v>
      </c>
      <c r="B435" s="1" t="s">
        <v>53</v>
      </c>
      <c r="C435" s="1" t="s">
        <v>54</v>
      </c>
      <c r="D435" s="1" t="s">
        <v>56</v>
      </c>
      <c r="E435" s="11" t="s">
        <v>50</v>
      </c>
      <c r="F435" s="12">
        <v>45931</v>
      </c>
      <c r="G435" s="1" t="s">
        <v>32</v>
      </c>
      <c r="H435" s="1" t="s">
        <v>34</v>
      </c>
      <c r="I435" s="2">
        <v>12</v>
      </c>
      <c r="J435" s="3">
        <v>15001</v>
      </c>
      <c r="K435" s="3">
        <v>180012</v>
      </c>
      <c r="L435" s="3">
        <v>118683</v>
      </c>
      <c r="M435" s="3">
        <v>61329</v>
      </c>
      <c r="N435" s="4">
        <v>10</v>
      </c>
    </row>
    <row r="436" spans="1:14" x14ac:dyDescent="0.25">
      <c r="A436" s="2">
        <v>2</v>
      </c>
      <c r="B436" s="1" t="s">
        <v>53</v>
      </c>
      <c r="C436" s="1" t="s">
        <v>54</v>
      </c>
      <c r="D436" s="1" t="s">
        <v>55</v>
      </c>
      <c r="E436" s="11" t="s">
        <v>50</v>
      </c>
      <c r="F436" s="12">
        <v>45931</v>
      </c>
      <c r="G436" s="1" t="s">
        <v>32</v>
      </c>
      <c r="H436" s="1" t="s">
        <v>35</v>
      </c>
      <c r="I436" s="2">
        <v>8</v>
      </c>
      <c r="J436" s="3">
        <v>10179</v>
      </c>
      <c r="K436" s="3">
        <v>81432</v>
      </c>
      <c r="L436" s="3">
        <v>37105</v>
      </c>
      <c r="M436" s="3">
        <v>44327</v>
      </c>
      <c r="N436" s="4">
        <v>0</v>
      </c>
    </row>
    <row r="437" spans="1:14" x14ac:dyDescent="0.25">
      <c r="A437" s="2">
        <v>2</v>
      </c>
      <c r="B437" s="1" t="s">
        <v>53</v>
      </c>
      <c r="C437" s="1" t="s">
        <v>54</v>
      </c>
      <c r="D437" s="1" t="s">
        <v>56</v>
      </c>
      <c r="E437" s="11" t="s">
        <v>50</v>
      </c>
      <c r="F437" s="12">
        <v>45931</v>
      </c>
      <c r="G437" s="1" t="s">
        <v>32</v>
      </c>
      <c r="H437" s="1" t="s">
        <v>36</v>
      </c>
      <c r="I437" s="2">
        <v>8</v>
      </c>
      <c r="J437" s="3">
        <v>13782</v>
      </c>
      <c r="K437" s="3">
        <v>110256</v>
      </c>
      <c r="L437" s="3">
        <v>59109</v>
      </c>
      <c r="M437" s="3">
        <v>51147</v>
      </c>
      <c r="N437" s="4">
        <v>1</v>
      </c>
    </row>
    <row r="438" spans="1:14" x14ac:dyDescent="0.25">
      <c r="A438" s="2">
        <v>2</v>
      </c>
      <c r="B438" s="1" t="s">
        <v>53</v>
      </c>
      <c r="C438" s="1" t="s">
        <v>54</v>
      </c>
      <c r="D438" s="1" t="s">
        <v>56</v>
      </c>
      <c r="E438" s="11" t="s">
        <v>50</v>
      </c>
      <c r="F438" s="12">
        <v>45931</v>
      </c>
      <c r="G438" s="1" t="s">
        <v>37</v>
      </c>
      <c r="H438" s="1" t="s">
        <v>38</v>
      </c>
      <c r="I438" s="2">
        <v>7</v>
      </c>
      <c r="J438" s="3">
        <v>149410</v>
      </c>
      <c r="K438" s="3">
        <v>1045870</v>
      </c>
      <c r="L438" s="3">
        <v>668352</v>
      </c>
      <c r="M438" s="3">
        <v>377518</v>
      </c>
      <c r="N438" s="4">
        <v>11</v>
      </c>
    </row>
    <row r="439" spans="1:14" x14ac:dyDescent="0.25">
      <c r="A439" s="2">
        <v>2</v>
      </c>
      <c r="B439" s="1" t="s">
        <v>53</v>
      </c>
      <c r="C439" s="1" t="s">
        <v>54</v>
      </c>
      <c r="D439" s="1" t="s">
        <v>56</v>
      </c>
      <c r="E439" s="11" t="s">
        <v>50</v>
      </c>
      <c r="F439" s="12">
        <v>45931</v>
      </c>
      <c r="G439" s="1" t="s">
        <v>37</v>
      </c>
      <c r="H439" s="1" t="s">
        <v>39</v>
      </c>
      <c r="I439" s="2">
        <v>3</v>
      </c>
      <c r="J439" s="3">
        <v>35251</v>
      </c>
      <c r="K439" s="3">
        <v>105753</v>
      </c>
      <c r="L439" s="3">
        <v>67572</v>
      </c>
      <c r="M439" s="3">
        <v>38181</v>
      </c>
      <c r="N439" s="4">
        <v>8</v>
      </c>
    </row>
    <row r="440" spans="1:14" x14ac:dyDescent="0.25">
      <c r="A440" s="2">
        <v>2</v>
      </c>
      <c r="B440" s="1" t="s">
        <v>53</v>
      </c>
      <c r="C440" s="1" t="s">
        <v>54</v>
      </c>
      <c r="D440" s="1" t="s">
        <v>55</v>
      </c>
      <c r="E440" s="11" t="s">
        <v>50</v>
      </c>
      <c r="F440" s="12">
        <v>45931</v>
      </c>
      <c r="G440" s="1" t="s">
        <v>37</v>
      </c>
      <c r="H440" s="1" t="s">
        <v>40</v>
      </c>
      <c r="I440" s="2">
        <v>14</v>
      </c>
      <c r="J440" s="3">
        <v>149478</v>
      </c>
      <c r="K440" s="3">
        <v>2092692</v>
      </c>
      <c r="L440" s="3">
        <v>915669</v>
      </c>
      <c r="M440" s="3">
        <v>1177023</v>
      </c>
      <c r="N440" s="4">
        <v>11</v>
      </c>
    </row>
    <row r="441" spans="1:14" x14ac:dyDescent="0.25">
      <c r="A441" s="2">
        <v>2</v>
      </c>
      <c r="B441" s="1" t="s">
        <v>53</v>
      </c>
      <c r="C441" s="1" t="s">
        <v>54</v>
      </c>
      <c r="D441" s="1" t="s">
        <v>55</v>
      </c>
      <c r="E441" s="11" t="s">
        <v>50</v>
      </c>
      <c r="F441" s="12">
        <v>45931</v>
      </c>
      <c r="G441" s="1" t="s">
        <v>37</v>
      </c>
      <c r="H441" s="1" t="s">
        <v>41</v>
      </c>
      <c r="I441" s="2">
        <v>4</v>
      </c>
      <c r="J441" s="3">
        <v>28712</v>
      </c>
      <c r="K441" s="3">
        <v>114848</v>
      </c>
      <c r="L441" s="3">
        <v>52848</v>
      </c>
      <c r="M441" s="3">
        <v>62000</v>
      </c>
      <c r="N441" s="4">
        <v>8</v>
      </c>
    </row>
    <row r="442" spans="1:14" x14ac:dyDescent="0.25">
      <c r="A442" s="2">
        <v>2</v>
      </c>
      <c r="B442" s="1" t="s">
        <v>53</v>
      </c>
      <c r="C442" s="1" t="s">
        <v>54</v>
      </c>
      <c r="D442" s="1" t="s">
        <v>56</v>
      </c>
      <c r="E442" s="11" t="s">
        <v>51</v>
      </c>
      <c r="F442" s="12">
        <v>45962</v>
      </c>
      <c r="G442" s="1" t="s">
        <v>16</v>
      </c>
      <c r="H442" s="1" t="s">
        <v>17</v>
      </c>
      <c r="I442" s="2">
        <v>2</v>
      </c>
      <c r="J442" s="3">
        <v>74615</v>
      </c>
      <c r="K442" s="3">
        <v>149230</v>
      </c>
      <c r="L442" s="3">
        <v>79088</v>
      </c>
      <c r="M442" s="3">
        <v>70142</v>
      </c>
      <c r="N442" s="4">
        <v>12</v>
      </c>
    </row>
    <row r="443" spans="1:14" x14ac:dyDescent="0.25">
      <c r="A443" s="2">
        <v>2</v>
      </c>
      <c r="B443" s="1" t="s">
        <v>53</v>
      </c>
      <c r="C443" s="1" t="s">
        <v>54</v>
      </c>
      <c r="D443" s="1" t="s">
        <v>56</v>
      </c>
      <c r="E443" s="11" t="s">
        <v>51</v>
      </c>
      <c r="F443" s="12">
        <v>45962</v>
      </c>
      <c r="G443" s="1" t="s">
        <v>16</v>
      </c>
      <c r="H443" s="1" t="s">
        <v>19</v>
      </c>
      <c r="I443" s="2">
        <v>17</v>
      </c>
      <c r="J443" s="3">
        <v>122471</v>
      </c>
      <c r="K443" s="3">
        <v>2082007</v>
      </c>
      <c r="L443" s="3">
        <v>1122992</v>
      </c>
      <c r="M443" s="3">
        <v>959015</v>
      </c>
      <c r="N443" s="4">
        <v>13</v>
      </c>
    </row>
    <row r="444" spans="1:14" x14ac:dyDescent="0.25">
      <c r="A444" s="2">
        <v>2</v>
      </c>
      <c r="B444" s="1" t="s">
        <v>53</v>
      </c>
      <c r="C444" s="1" t="s">
        <v>54</v>
      </c>
      <c r="D444" s="1" t="s">
        <v>56</v>
      </c>
      <c r="E444" s="11" t="s">
        <v>51</v>
      </c>
      <c r="F444" s="12">
        <v>45962</v>
      </c>
      <c r="G444" s="1" t="s">
        <v>16</v>
      </c>
      <c r="H444" s="1" t="s">
        <v>20</v>
      </c>
      <c r="I444" s="2">
        <v>18</v>
      </c>
      <c r="J444" s="3">
        <v>103309</v>
      </c>
      <c r="K444" s="3">
        <v>1859562</v>
      </c>
      <c r="L444" s="3">
        <v>1287579</v>
      </c>
      <c r="M444" s="3">
        <v>571983</v>
      </c>
      <c r="N444" s="4">
        <v>5</v>
      </c>
    </row>
    <row r="445" spans="1:14" x14ac:dyDescent="0.25">
      <c r="A445" s="2">
        <v>2</v>
      </c>
      <c r="B445" s="1" t="s">
        <v>53</v>
      </c>
      <c r="C445" s="1" t="s">
        <v>54</v>
      </c>
      <c r="D445" s="1" t="s">
        <v>55</v>
      </c>
      <c r="E445" s="11" t="s">
        <v>51</v>
      </c>
      <c r="F445" s="12">
        <v>45962</v>
      </c>
      <c r="G445" s="1" t="s">
        <v>16</v>
      </c>
      <c r="H445" s="1" t="s">
        <v>21</v>
      </c>
      <c r="I445" s="2">
        <v>11</v>
      </c>
      <c r="J445" s="3">
        <v>41804</v>
      </c>
      <c r="K445" s="3">
        <v>459844</v>
      </c>
      <c r="L445" s="3">
        <v>288376</v>
      </c>
      <c r="M445" s="3">
        <v>171468</v>
      </c>
      <c r="N445" s="4">
        <v>11</v>
      </c>
    </row>
    <row r="446" spans="1:14" x14ac:dyDescent="0.25">
      <c r="A446" s="2">
        <v>2</v>
      </c>
      <c r="B446" s="1" t="s">
        <v>53</v>
      </c>
      <c r="C446" s="1" t="s">
        <v>54</v>
      </c>
      <c r="D446" s="1" t="s">
        <v>56</v>
      </c>
      <c r="E446" s="11" t="s">
        <v>51</v>
      </c>
      <c r="F446" s="12">
        <v>45962</v>
      </c>
      <c r="G446" s="1" t="s">
        <v>22</v>
      </c>
      <c r="H446" s="1" t="s">
        <v>23</v>
      </c>
      <c r="I446" s="2">
        <v>6</v>
      </c>
      <c r="J446" s="3">
        <v>72648</v>
      </c>
      <c r="K446" s="3">
        <v>435888</v>
      </c>
      <c r="L446" s="3">
        <v>179536</v>
      </c>
      <c r="M446" s="3">
        <v>256352</v>
      </c>
      <c r="N446" s="4">
        <v>5</v>
      </c>
    </row>
    <row r="447" spans="1:14" x14ac:dyDescent="0.25">
      <c r="A447" s="2">
        <v>2</v>
      </c>
      <c r="B447" s="1" t="s">
        <v>53</v>
      </c>
      <c r="C447" s="1" t="s">
        <v>54</v>
      </c>
      <c r="D447" s="1" t="s">
        <v>56</v>
      </c>
      <c r="E447" s="11" t="s">
        <v>51</v>
      </c>
      <c r="F447" s="12">
        <v>45962</v>
      </c>
      <c r="G447" s="1" t="s">
        <v>22</v>
      </c>
      <c r="H447" s="1" t="s">
        <v>24</v>
      </c>
      <c r="I447" s="2">
        <v>19</v>
      </c>
      <c r="J447" s="3">
        <v>66167</v>
      </c>
      <c r="K447" s="3">
        <v>1257173</v>
      </c>
      <c r="L447" s="3">
        <v>557903</v>
      </c>
      <c r="M447" s="3">
        <v>699270</v>
      </c>
      <c r="N447" s="4">
        <v>11</v>
      </c>
    </row>
    <row r="448" spans="1:14" x14ac:dyDescent="0.25">
      <c r="A448" s="2">
        <v>2</v>
      </c>
      <c r="B448" s="1" t="s">
        <v>53</v>
      </c>
      <c r="C448" s="1" t="s">
        <v>54</v>
      </c>
      <c r="D448" s="1" t="s">
        <v>56</v>
      </c>
      <c r="E448" s="11" t="s">
        <v>51</v>
      </c>
      <c r="F448" s="12">
        <v>45962</v>
      </c>
      <c r="G448" s="1" t="s">
        <v>22</v>
      </c>
      <c r="H448" s="1" t="s">
        <v>25</v>
      </c>
      <c r="I448" s="2">
        <v>14</v>
      </c>
      <c r="J448" s="3">
        <v>58559</v>
      </c>
      <c r="K448" s="3">
        <v>819826</v>
      </c>
      <c r="L448" s="3">
        <v>332447</v>
      </c>
      <c r="M448" s="3">
        <v>487379</v>
      </c>
      <c r="N448" s="4">
        <v>5</v>
      </c>
    </row>
    <row r="449" spans="1:14" x14ac:dyDescent="0.25">
      <c r="A449" s="2">
        <v>2</v>
      </c>
      <c r="B449" s="1" t="s">
        <v>53</v>
      </c>
      <c r="C449" s="1" t="s">
        <v>54</v>
      </c>
      <c r="D449" s="1" t="s">
        <v>56</v>
      </c>
      <c r="E449" s="11" t="s">
        <v>51</v>
      </c>
      <c r="F449" s="12">
        <v>45962</v>
      </c>
      <c r="G449" s="1" t="s">
        <v>22</v>
      </c>
      <c r="H449" s="1" t="s">
        <v>26</v>
      </c>
      <c r="I449" s="2">
        <v>1</v>
      </c>
      <c r="J449" s="3">
        <v>94441</v>
      </c>
      <c r="K449" s="3">
        <v>94441</v>
      </c>
      <c r="L449" s="3">
        <v>59756</v>
      </c>
      <c r="M449" s="3">
        <v>34685</v>
      </c>
      <c r="N449" s="4">
        <v>1</v>
      </c>
    </row>
    <row r="450" spans="1:14" x14ac:dyDescent="0.25">
      <c r="A450" s="2">
        <v>2</v>
      </c>
      <c r="B450" s="1" t="s">
        <v>53</v>
      </c>
      <c r="C450" s="1" t="s">
        <v>54</v>
      </c>
      <c r="D450" s="1" t="s">
        <v>55</v>
      </c>
      <c r="E450" s="11" t="s">
        <v>51</v>
      </c>
      <c r="F450" s="12">
        <v>45962</v>
      </c>
      <c r="G450" s="1" t="s">
        <v>27</v>
      </c>
      <c r="H450" s="1" t="s">
        <v>28</v>
      </c>
      <c r="I450" s="2">
        <v>1</v>
      </c>
      <c r="J450" s="3">
        <v>69153</v>
      </c>
      <c r="K450" s="3">
        <v>69153</v>
      </c>
      <c r="L450" s="3">
        <v>38744</v>
      </c>
      <c r="M450" s="3">
        <v>30409</v>
      </c>
      <c r="N450" s="4">
        <v>8</v>
      </c>
    </row>
    <row r="451" spans="1:14" x14ac:dyDescent="0.25">
      <c r="A451" s="2">
        <v>2</v>
      </c>
      <c r="B451" s="1" t="s">
        <v>53</v>
      </c>
      <c r="C451" s="1" t="s">
        <v>54</v>
      </c>
      <c r="D451" s="1" t="s">
        <v>55</v>
      </c>
      <c r="E451" s="11" t="s">
        <v>51</v>
      </c>
      <c r="F451" s="12">
        <v>45962</v>
      </c>
      <c r="G451" s="1" t="s">
        <v>27</v>
      </c>
      <c r="H451" s="1" t="s">
        <v>29</v>
      </c>
      <c r="I451" s="2">
        <v>13</v>
      </c>
      <c r="J451" s="3">
        <v>103869</v>
      </c>
      <c r="K451" s="3">
        <v>1350297</v>
      </c>
      <c r="L451" s="3">
        <v>553569</v>
      </c>
      <c r="M451" s="3">
        <v>796728</v>
      </c>
      <c r="N451" s="4">
        <v>3</v>
      </c>
    </row>
    <row r="452" spans="1:14" x14ac:dyDescent="0.25">
      <c r="A452" s="2">
        <v>2</v>
      </c>
      <c r="B452" s="1" t="s">
        <v>53</v>
      </c>
      <c r="C452" s="1" t="s">
        <v>54</v>
      </c>
      <c r="D452" s="1" t="s">
        <v>56</v>
      </c>
      <c r="E452" s="11" t="s">
        <v>51</v>
      </c>
      <c r="F452" s="12">
        <v>45962</v>
      </c>
      <c r="G452" s="1" t="s">
        <v>27</v>
      </c>
      <c r="H452" s="1" t="s">
        <v>30</v>
      </c>
      <c r="I452" s="2">
        <v>7</v>
      </c>
      <c r="J452" s="3">
        <v>128737</v>
      </c>
      <c r="K452" s="3">
        <v>901159</v>
      </c>
      <c r="L452" s="3">
        <v>624719</v>
      </c>
      <c r="M452" s="3">
        <v>276440</v>
      </c>
      <c r="N452" s="4">
        <v>9</v>
      </c>
    </row>
    <row r="453" spans="1:14" x14ac:dyDescent="0.25">
      <c r="A453" s="2">
        <v>2</v>
      </c>
      <c r="B453" s="1" t="s">
        <v>53</v>
      </c>
      <c r="C453" s="1" t="s">
        <v>54</v>
      </c>
      <c r="D453" s="1" t="s">
        <v>55</v>
      </c>
      <c r="E453" s="11" t="s">
        <v>51</v>
      </c>
      <c r="F453" s="12">
        <v>45962</v>
      </c>
      <c r="G453" s="1" t="s">
        <v>27</v>
      </c>
      <c r="H453" s="1" t="s">
        <v>31</v>
      </c>
      <c r="I453" s="2">
        <v>14</v>
      </c>
      <c r="J453" s="3">
        <v>95897</v>
      </c>
      <c r="K453" s="3">
        <v>1342558</v>
      </c>
      <c r="L453" s="3">
        <v>859473</v>
      </c>
      <c r="M453" s="3">
        <v>483085</v>
      </c>
      <c r="N453" s="4">
        <v>1</v>
      </c>
    </row>
    <row r="454" spans="1:14" x14ac:dyDescent="0.25">
      <c r="A454" s="2">
        <v>2</v>
      </c>
      <c r="B454" s="1" t="s">
        <v>53</v>
      </c>
      <c r="C454" s="1" t="s">
        <v>54</v>
      </c>
      <c r="D454" s="1" t="s">
        <v>56</v>
      </c>
      <c r="E454" s="11" t="s">
        <v>51</v>
      </c>
      <c r="F454" s="12">
        <v>45962</v>
      </c>
      <c r="G454" s="1" t="s">
        <v>32</v>
      </c>
      <c r="H454" s="1" t="s">
        <v>33</v>
      </c>
      <c r="I454" s="2">
        <v>10</v>
      </c>
      <c r="J454" s="3">
        <v>14078</v>
      </c>
      <c r="K454" s="3">
        <v>140780</v>
      </c>
      <c r="L454" s="3">
        <v>84625</v>
      </c>
      <c r="M454" s="3">
        <v>56155</v>
      </c>
      <c r="N454" s="4">
        <v>7</v>
      </c>
    </row>
    <row r="455" spans="1:14" x14ac:dyDescent="0.25">
      <c r="A455" s="2">
        <v>2</v>
      </c>
      <c r="B455" s="1" t="s">
        <v>53</v>
      </c>
      <c r="C455" s="1" t="s">
        <v>54</v>
      </c>
      <c r="D455" s="1" t="s">
        <v>56</v>
      </c>
      <c r="E455" s="11" t="s">
        <v>51</v>
      </c>
      <c r="F455" s="12">
        <v>45962</v>
      </c>
      <c r="G455" s="1" t="s">
        <v>32</v>
      </c>
      <c r="H455" s="1" t="s">
        <v>34</v>
      </c>
      <c r="I455" s="2">
        <v>11</v>
      </c>
      <c r="J455" s="3">
        <v>13508</v>
      </c>
      <c r="K455" s="3">
        <v>148588</v>
      </c>
      <c r="L455" s="3">
        <v>90927</v>
      </c>
      <c r="M455" s="3">
        <v>57661</v>
      </c>
      <c r="N455" s="4">
        <v>5</v>
      </c>
    </row>
    <row r="456" spans="1:14" x14ac:dyDescent="0.25">
      <c r="A456" s="2">
        <v>2</v>
      </c>
      <c r="B456" s="1" t="s">
        <v>53</v>
      </c>
      <c r="C456" s="1" t="s">
        <v>54</v>
      </c>
      <c r="D456" s="1" t="s">
        <v>55</v>
      </c>
      <c r="E456" s="11" t="s">
        <v>51</v>
      </c>
      <c r="F456" s="12">
        <v>45962</v>
      </c>
      <c r="G456" s="1" t="s">
        <v>32</v>
      </c>
      <c r="H456" s="1" t="s">
        <v>35</v>
      </c>
      <c r="I456" s="2">
        <v>9</v>
      </c>
      <c r="J456" s="3">
        <v>11917</v>
      </c>
      <c r="K456" s="3">
        <v>107253</v>
      </c>
      <c r="L456" s="3">
        <v>62741</v>
      </c>
      <c r="M456" s="3">
        <v>44512</v>
      </c>
      <c r="N456" s="4">
        <v>14</v>
      </c>
    </row>
    <row r="457" spans="1:14" x14ac:dyDescent="0.25">
      <c r="A457" s="2">
        <v>2</v>
      </c>
      <c r="B457" s="1" t="s">
        <v>53</v>
      </c>
      <c r="C457" s="1" t="s">
        <v>54</v>
      </c>
      <c r="D457" s="1" t="s">
        <v>56</v>
      </c>
      <c r="E457" s="11" t="s">
        <v>51</v>
      </c>
      <c r="F457" s="12">
        <v>45962</v>
      </c>
      <c r="G457" s="1" t="s">
        <v>32</v>
      </c>
      <c r="H457" s="1" t="s">
        <v>36</v>
      </c>
      <c r="I457" s="2">
        <v>9</v>
      </c>
      <c r="J457" s="3">
        <v>13907</v>
      </c>
      <c r="K457" s="3">
        <v>125163</v>
      </c>
      <c r="L457" s="3">
        <v>82769</v>
      </c>
      <c r="M457" s="3">
        <v>42394</v>
      </c>
      <c r="N457" s="4">
        <v>1</v>
      </c>
    </row>
    <row r="458" spans="1:14" x14ac:dyDescent="0.25">
      <c r="A458" s="2">
        <v>2</v>
      </c>
      <c r="B458" s="1" t="s">
        <v>53</v>
      </c>
      <c r="C458" s="1" t="s">
        <v>54</v>
      </c>
      <c r="D458" s="1" t="s">
        <v>55</v>
      </c>
      <c r="E458" s="11" t="s">
        <v>51</v>
      </c>
      <c r="F458" s="12">
        <v>45962</v>
      </c>
      <c r="G458" s="1" t="s">
        <v>37</v>
      </c>
      <c r="H458" s="1" t="s">
        <v>38</v>
      </c>
      <c r="I458" s="2">
        <v>15</v>
      </c>
      <c r="J458" s="3">
        <v>44826</v>
      </c>
      <c r="K458" s="3">
        <v>672390</v>
      </c>
      <c r="L458" s="3">
        <v>366667</v>
      </c>
      <c r="M458" s="3">
        <v>305723</v>
      </c>
      <c r="N458" s="4">
        <v>10</v>
      </c>
    </row>
    <row r="459" spans="1:14" x14ac:dyDescent="0.25">
      <c r="A459" s="2">
        <v>2</v>
      </c>
      <c r="B459" s="1" t="s">
        <v>53</v>
      </c>
      <c r="C459" s="1" t="s">
        <v>54</v>
      </c>
      <c r="D459" s="1" t="s">
        <v>55</v>
      </c>
      <c r="E459" s="11" t="s">
        <v>51</v>
      </c>
      <c r="F459" s="12">
        <v>45962</v>
      </c>
      <c r="G459" s="1" t="s">
        <v>37</v>
      </c>
      <c r="H459" s="1" t="s">
        <v>39</v>
      </c>
      <c r="I459" s="2">
        <v>16</v>
      </c>
      <c r="J459" s="3">
        <v>86435</v>
      </c>
      <c r="K459" s="3">
        <v>1382960</v>
      </c>
      <c r="L459" s="3">
        <v>801069</v>
      </c>
      <c r="M459" s="3">
        <v>581891</v>
      </c>
      <c r="N459" s="4">
        <v>5</v>
      </c>
    </row>
    <row r="460" spans="1:14" x14ac:dyDescent="0.25">
      <c r="A460" s="2">
        <v>2</v>
      </c>
      <c r="B460" s="1" t="s">
        <v>53</v>
      </c>
      <c r="C460" s="1" t="s">
        <v>54</v>
      </c>
      <c r="D460" s="1" t="s">
        <v>56</v>
      </c>
      <c r="E460" s="11" t="s">
        <v>51</v>
      </c>
      <c r="F460" s="12">
        <v>45962</v>
      </c>
      <c r="G460" s="1" t="s">
        <v>37</v>
      </c>
      <c r="H460" s="1" t="s">
        <v>40</v>
      </c>
      <c r="I460" s="2">
        <v>3</v>
      </c>
      <c r="J460" s="3">
        <v>76446</v>
      </c>
      <c r="K460" s="3">
        <v>229338</v>
      </c>
      <c r="L460" s="3">
        <v>127952</v>
      </c>
      <c r="M460" s="3">
        <v>101386</v>
      </c>
      <c r="N460" s="4">
        <v>9</v>
      </c>
    </row>
    <row r="461" spans="1:14" x14ac:dyDescent="0.25">
      <c r="A461" s="2">
        <v>2</v>
      </c>
      <c r="B461" s="1" t="s">
        <v>53</v>
      </c>
      <c r="C461" s="1" t="s">
        <v>54</v>
      </c>
      <c r="D461" s="1" t="s">
        <v>56</v>
      </c>
      <c r="E461" s="11" t="s">
        <v>51</v>
      </c>
      <c r="F461" s="12">
        <v>45962</v>
      </c>
      <c r="G461" s="1" t="s">
        <v>37</v>
      </c>
      <c r="H461" s="1" t="s">
        <v>41</v>
      </c>
      <c r="I461" s="2">
        <v>14</v>
      </c>
      <c r="J461" s="3">
        <v>131562</v>
      </c>
      <c r="K461" s="3">
        <v>1841868</v>
      </c>
      <c r="L461" s="3">
        <v>1137257</v>
      </c>
      <c r="M461" s="3">
        <v>704611</v>
      </c>
      <c r="N461" s="4">
        <v>11</v>
      </c>
    </row>
    <row r="462" spans="1:14" x14ac:dyDescent="0.25">
      <c r="A462" s="2">
        <v>2</v>
      </c>
      <c r="B462" s="1" t="s">
        <v>53</v>
      </c>
      <c r="C462" s="1" t="s">
        <v>54</v>
      </c>
      <c r="D462" s="1" t="s">
        <v>56</v>
      </c>
      <c r="E462" s="11" t="s">
        <v>52</v>
      </c>
      <c r="F462" s="12">
        <v>45992</v>
      </c>
      <c r="G462" s="1" t="s">
        <v>16</v>
      </c>
      <c r="H462" s="1" t="s">
        <v>17</v>
      </c>
      <c r="I462" s="2">
        <v>12</v>
      </c>
      <c r="J462" s="3">
        <v>145836</v>
      </c>
      <c r="K462" s="3">
        <v>1750032</v>
      </c>
      <c r="L462" s="3">
        <v>951638</v>
      </c>
      <c r="M462" s="3">
        <v>798394</v>
      </c>
      <c r="N462" s="4">
        <v>2</v>
      </c>
    </row>
    <row r="463" spans="1:14" x14ac:dyDescent="0.25">
      <c r="A463" s="2">
        <v>2</v>
      </c>
      <c r="B463" s="1" t="s">
        <v>53</v>
      </c>
      <c r="C463" s="1" t="s">
        <v>54</v>
      </c>
      <c r="D463" s="1" t="s">
        <v>56</v>
      </c>
      <c r="E463" s="11" t="s">
        <v>52</v>
      </c>
      <c r="F463" s="12">
        <v>45992</v>
      </c>
      <c r="G463" s="1" t="s">
        <v>16</v>
      </c>
      <c r="H463" s="1" t="s">
        <v>19</v>
      </c>
      <c r="I463" s="2">
        <v>19</v>
      </c>
      <c r="J463" s="3">
        <v>40022</v>
      </c>
      <c r="K463" s="3">
        <v>760418</v>
      </c>
      <c r="L463" s="3">
        <v>411427</v>
      </c>
      <c r="M463" s="3">
        <v>348991</v>
      </c>
      <c r="N463" s="4">
        <v>12</v>
      </c>
    </row>
    <row r="464" spans="1:14" x14ac:dyDescent="0.25">
      <c r="A464" s="2">
        <v>2</v>
      </c>
      <c r="B464" s="1" t="s">
        <v>53</v>
      </c>
      <c r="C464" s="1" t="s">
        <v>54</v>
      </c>
      <c r="D464" s="1" t="s">
        <v>55</v>
      </c>
      <c r="E464" s="11" t="s">
        <v>52</v>
      </c>
      <c r="F464" s="12">
        <v>45992</v>
      </c>
      <c r="G464" s="1" t="s">
        <v>16</v>
      </c>
      <c r="H464" s="1" t="s">
        <v>20</v>
      </c>
      <c r="I464" s="2">
        <v>8</v>
      </c>
      <c r="J464" s="3">
        <v>48380</v>
      </c>
      <c r="K464" s="3">
        <v>387040</v>
      </c>
      <c r="L464" s="3">
        <v>246509</v>
      </c>
      <c r="M464" s="3">
        <v>140531</v>
      </c>
      <c r="N464" s="4">
        <v>6</v>
      </c>
    </row>
    <row r="465" spans="1:14" x14ac:dyDescent="0.25">
      <c r="A465" s="2">
        <v>2</v>
      </c>
      <c r="B465" s="1" t="s">
        <v>53</v>
      </c>
      <c r="C465" s="1" t="s">
        <v>54</v>
      </c>
      <c r="D465" s="1" t="s">
        <v>55</v>
      </c>
      <c r="E465" s="11" t="s">
        <v>52</v>
      </c>
      <c r="F465" s="12">
        <v>45992</v>
      </c>
      <c r="G465" s="1" t="s">
        <v>16</v>
      </c>
      <c r="H465" s="1" t="s">
        <v>21</v>
      </c>
      <c r="I465" s="2">
        <v>19</v>
      </c>
      <c r="J465" s="3">
        <v>109899</v>
      </c>
      <c r="K465" s="3">
        <v>2088081</v>
      </c>
      <c r="L465" s="3">
        <v>1183125</v>
      </c>
      <c r="M465" s="3">
        <v>904956</v>
      </c>
      <c r="N465" s="4">
        <v>1</v>
      </c>
    </row>
    <row r="466" spans="1:14" x14ac:dyDescent="0.25">
      <c r="A466" s="2">
        <v>2</v>
      </c>
      <c r="B466" s="1" t="s">
        <v>53</v>
      </c>
      <c r="C466" s="1" t="s">
        <v>54</v>
      </c>
      <c r="D466" s="1" t="s">
        <v>55</v>
      </c>
      <c r="E466" s="11" t="s">
        <v>52</v>
      </c>
      <c r="F466" s="12">
        <v>45992</v>
      </c>
      <c r="G466" s="1" t="s">
        <v>22</v>
      </c>
      <c r="H466" s="1" t="s">
        <v>23</v>
      </c>
      <c r="I466" s="2">
        <v>19</v>
      </c>
      <c r="J466" s="3">
        <v>20661</v>
      </c>
      <c r="K466" s="3">
        <v>392559</v>
      </c>
      <c r="L466" s="3">
        <v>196159</v>
      </c>
      <c r="M466" s="3">
        <v>196400</v>
      </c>
      <c r="N466" s="4">
        <v>7</v>
      </c>
    </row>
    <row r="467" spans="1:14" x14ac:dyDescent="0.25">
      <c r="A467" s="2">
        <v>2</v>
      </c>
      <c r="B467" s="1" t="s">
        <v>53</v>
      </c>
      <c r="C467" s="1" t="s">
        <v>54</v>
      </c>
      <c r="D467" s="1" t="s">
        <v>55</v>
      </c>
      <c r="E467" s="11" t="s">
        <v>52</v>
      </c>
      <c r="F467" s="12">
        <v>45992</v>
      </c>
      <c r="G467" s="1" t="s">
        <v>22</v>
      </c>
      <c r="H467" s="1" t="s">
        <v>24</v>
      </c>
      <c r="I467" s="2">
        <v>9</v>
      </c>
      <c r="J467" s="3">
        <v>111194</v>
      </c>
      <c r="K467" s="3">
        <v>1000746</v>
      </c>
      <c r="L467" s="3">
        <v>595541</v>
      </c>
      <c r="M467" s="3">
        <v>405205</v>
      </c>
      <c r="N467" s="4">
        <v>9</v>
      </c>
    </row>
    <row r="468" spans="1:14" x14ac:dyDescent="0.25">
      <c r="A468" s="2">
        <v>2</v>
      </c>
      <c r="B468" s="1" t="s">
        <v>53</v>
      </c>
      <c r="C468" s="1" t="s">
        <v>54</v>
      </c>
      <c r="D468" s="1" t="s">
        <v>56</v>
      </c>
      <c r="E468" s="11" t="s">
        <v>52</v>
      </c>
      <c r="F468" s="12">
        <v>45992</v>
      </c>
      <c r="G468" s="1" t="s">
        <v>22</v>
      </c>
      <c r="H468" s="1" t="s">
        <v>25</v>
      </c>
      <c r="I468" s="2">
        <v>19</v>
      </c>
      <c r="J468" s="3">
        <v>114242</v>
      </c>
      <c r="K468" s="3">
        <v>2170598</v>
      </c>
      <c r="L468" s="3">
        <v>1011864</v>
      </c>
      <c r="M468" s="3">
        <v>1158734</v>
      </c>
      <c r="N468" s="4">
        <v>5</v>
      </c>
    </row>
    <row r="469" spans="1:14" x14ac:dyDescent="0.25">
      <c r="A469" s="2">
        <v>2</v>
      </c>
      <c r="B469" s="1" t="s">
        <v>53</v>
      </c>
      <c r="C469" s="1" t="s">
        <v>54</v>
      </c>
      <c r="D469" s="1" t="s">
        <v>55</v>
      </c>
      <c r="E469" s="11" t="s">
        <v>52</v>
      </c>
      <c r="F469" s="12">
        <v>45992</v>
      </c>
      <c r="G469" s="1" t="s">
        <v>22</v>
      </c>
      <c r="H469" s="1" t="s">
        <v>26</v>
      </c>
      <c r="I469" s="2">
        <v>15</v>
      </c>
      <c r="J469" s="3">
        <v>118656</v>
      </c>
      <c r="K469" s="3">
        <v>1779840</v>
      </c>
      <c r="L469" s="3">
        <v>1160697</v>
      </c>
      <c r="M469" s="3">
        <v>619143</v>
      </c>
      <c r="N469" s="4">
        <v>0</v>
      </c>
    </row>
    <row r="470" spans="1:14" x14ac:dyDescent="0.25">
      <c r="A470" s="2">
        <v>2</v>
      </c>
      <c r="B470" s="1" t="s">
        <v>53</v>
      </c>
      <c r="C470" s="1" t="s">
        <v>54</v>
      </c>
      <c r="D470" s="1" t="s">
        <v>55</v>
      </c>
      <c r="E470" s="11" t="s">
        <v>52</v>
      </c>
      <c r="F470" s="12">
        <v>45992</v>
      </c>
      <c r="G470" s="1" t="s">
        <v>27</v>
      </c>
      <c r="H470" s="1" t="s">
        <v>28</v>
      </c>
      <c r="I470" s="2">
        <v>5</v>
      </c>
      <c r="J470" s="3">
        <v>98339</v>
      </c>
      <c r="K470" s="3">
        <v>491695</v>
      </c>
      <c r="L470" s="3">
        <v>305148</v>
      </c>
      <c r="M470" s="3">
        <v>186547</v>
      </c>
      <c r="N470" s="4">
        <v>13</v>
      </c>
    </row>
    <row r="471" spans="1:14" x14ac:dyDescent="0.25">
      <c r="A471" s="2">
        <v>2</v>
      </c>
      <c r="B471" s="1" t="s">
        <v>53</v>
      </c>
      <c r="C471" s="1" t="s">
        <v>54</v>
      </c>
      <c r="D471" s="1" t="s">
        <v>56</v>
      </c>
      <c r="E471" s="11" t="s">
        <v>52</v>
      </c>
      <c r="F471" s="12">
        <v>45992</v>
      </c>
      <c r="G471" s="1" t="s">
        <v>27</v>
      </c>
      <c r="H471" s="1" t="s">
        <v>29</v>
      </c>
      <c r="I471" s="2">
        <v>18</v>
      </c>
      <c r="J471" s="3">
        <v>136400</v>
      </c>
      <c r="K471" s="3">
        <v>2455200</v>
      </c>
      <c r="L471" s="3">
        <v>1360668</v>
      </c>
      <c r="M471" s="3">
        <v>1094532</v>
      </c>
      <c r="N471" s="4">
        <v>8</v>
      </c>
    </row>
    <row r="472" spans="1:14" x14ac:dyDescent="0.25">
      <c r="A472" s="2">
        <v>2</v>
      </c>
      <c r="B472" s="1" t="s">
        <v>53</v>
      </c>
      <c r="C472" s="1" t="s">
        <v>54</v>
      </c>
      <c r="D472" s="1" t="s">
        <v>56</v>
      </c>
      <c r="E472" s="11" t="s">
        <v>52</v>
      </c>
      <c r="F472" s="12">
        <v>45992</v>
      </c>
      <c r="G472" s="1" t="s">
        <v>27</v>
      </c>
      <c r="H472" s="1" t="s">
        <v>30</v>
      </c>
      <c r="I472" s="2">
        <v>4</v>
      </c>
      <c r="J472" s="3">
        <v>45849</v>
      </c>
      <c r="K472" s="3">
        <v>183396</v>
      </c>
      <c r="L472" s="3">
        <v>113261</v>
      </c>
      <c r="M472" s="3">
        <v>70135</v>
      </c>
      <c r="N472" s="4">
        <v>3</v>
      </c>
    </row>
    <row r="473" spans="1:14" x14ac:dyDescent="0.25">
      <c r="A473" s="2">
        <v>2</v>
      </c>
      <c r="B473" s="1" t="s">
        <v>53</v>
      </c>
      <c r="C473" s="1" t="s">
        <v>54</v>
      </c>
      <c r="D473" s="1" t="s">
        <v>55</v>
      </c>
      <c r="E473" s="11" t="s">
        <v>52</v>
      </c>
      <c r="F473" s="12">
        <v>45992</v>
      </c>
      <c r="G473" s="1" t="s">
        <v>27</v>
      </c>
      <c r="H473" s="1" t="s">
        <v>31</v>
      </c>
      <c r="I473" s="2">
        <v>2</v>
      </c>
      <c r="J473" s="3">
        <v>46958</v>
      </c>
      <c r="K473" s="3">
        <v>93916</v>
      </c>
      <c r="L473" s="3">
        <v>62943</v>
      </c>
      <c r="M473" s="3">
        <v>30973</v>
      </c>
      <c r="N473" s="4">
        <v>5</v>
      </c>
    </row>
    <row r="474" spans="1:14" x14ac:dyDescent="0.25">
      <c r="A474" s="2">
        <v>2</v>
      </c>
      <c r="B474" s="1" t="s">
        <v>53</v>
      </c>
      <c r="C474" s="1" t="s">
        <v>54</v>
      </c>
      <c r="D474" s="1" t="s">
        <v>56</v>
      </c>
      <c r="E474" s="11" t="s">
        <v>52</v>
      </c>
      <c r="F474" s="12">
        <v>45992</v>
      </c>
      <c r="G474" s="1" t="s">
        <v>32</v>
      </c>
      <c r="H474" s="1" t="s">
        <v>33</v>
      </c>
      <c r="I474" s="2">
        <v>7</v>
      </c>
      <c r="J474" s="3">
        <v>17201</v>
      </c>
      <c r="K474" s="3">
        <v>120407</v>
      </c>
      <c r="L474" s="3">
        <v>84000</v>
      </c>
      <c r="M474" s="3">
        <v>36407</v>
      </c>
      <c r="N474" s="4">
        <v>9</v>
      </c>
    </row>
    <row r="475" spans="1:14" x14ac:dyDescent="0.25">
      <c r="A475" s="2">
        <v>2</v>
      </c>
      <c r="B475" s="1" t="s">
        <v>53</v>
      </c>
      <c r="C475" s="1" t="s">
        <v>54</v>
      </c>
      <c r="D475" s="1" t="s">
        <v>55</v>
      </c>
      <c r="E475" s="11" t="s">
        <v>52</v>
      </c>
      <c r="F475" s="12">
        <v>45992</v>
      </c>
      <c r="G475" s="1" t="s">
        <v>32</v>
      </c>
      <c r="H475" s="1" t="s">
        <v>34</v>
      </c>
      <c r="I475" s="2">
        <v>12</v>
      </c>
      <c r="J475" s="3">
        <v>8714</v>
      </c>
      <c r="K475" s="3">
        <v>104568</v>
      </c>
      <c r="L475" s="3">
        <v>61369</v>
      </c>
      <c r="M475" s="3">
        <v>43199</v>
      </c>
      <c r="N475" s="4">
        <v>7</v>
      </c>
    </row>
    <row r="476" spans="1:14" x14ac:dyDescent="0.25">
      <c r="A476" s="2">
        <v>2</v>
      </c>
      <c r="B476" s="1" t="s">
        <v>53</v>
      </c>
      <c r="C476" s="1" t="s">
        <v>54</v>
      </c>
      <c r="D476" s="1" t="s">
        <v>55</v>
      </c>
      <c r="E476" s="11" t="s">
        <v>52</v>
      </c>
      <c r="F476" s="12">
        <v>45992</v>
      </c>
      <c r="G476" s="1" t="s">
        <v>32</v>
      </c>
      <c r="H476" s="1" t="s">
        <v>35</v>
      </c>
      <c r="I476" s="2">
        <v>15</v>
      </c>
      <c r="J476" s="3">
        <v>12904</v>
      </c>
      <c r="K476" s="3">
        <v>193560</v>
      </c>
      <c r="L476" s="3">
        <v>85063</v>
      </c>
      <c r="M476" s="3">
        <v>108497</v>
      </c>
      <c r="N476" s="4">
        <v>7</v>
      </c>
    </row>
    <row r="477" spans="1:14" x14ac:dyDescent="0.25">
      <c r="A477" s="2">
        <v>2</v>
      </c>
      <c r="B477" s="1" t="s">
        <v>53</v>
      </c>
      <c r="C477" s="1" t="s">
        <v>54</v>
      </c>
      <c r="D477" s="1" t="s">
        <v>56</v>
      </c>
      <c r="E477" s="11" t="s">
        <v>52</v>
      </c>
      <c r="F477" s="12">
        <v>45992</v>
      </c>
      <c r="G477" s="1" t="s">
        <v>32</v>
      </c>
      <c r="H477" s="1" t="s">
        <v>36</v>
      </c>
      <c r="I477" s="2">
        <v>4</v>
      </c>
      <c r="J477" s="3">
        <v>11895</v>
      </c>
      <c r="K477" s="3">
        <v>47580</v>
      </c>
      <c r="L477" s="3">
        <v>27622</v>
      </c>
      <c r="M477" s="3">
        <v>19958</v>
      </c>
      <c r="N477" s="4">
        <v>9</v>
      </c>
    </row>
    <row r="478" spans="1:14" x14ac:dyDescent="0.25">
      <c r="A478" s="2">
        <v>2</v>
      </c>
      <c r="B478" s="1" t="s">
        <v>53</v>
      </c>
      <c r="C478" s="1" t="s">
        <v>54</v>
      </c>
      <c r="D478" s="1" t="s">
        <v>56</v>
      </c>
      <c r="E478" s="11" t="s">
        <v>52</v>
      </c>
      <c r="F478" s="12">
        <v>45992</v>
      </c>
      <c r="G478" s="1" t="s">
        <v>37</v>
      </c>
      <c r="H478" s="1" t="s">
        <v>38</v>
      </c>
      <c r="I478" s="2">
        <v>12</v>
      </c>
      <c r="J478" s="3">
        <v>86061</v>
      </c>
      <c r="K478" s="3">
        <v>1032732</v>
      </c>
      <c r="L478" s="3">
        <v>714050</v>
      </c>
      <c r="M478" s="3">
        <v>318682</v>
      </c>
      <c r="N478" s="4">
        <v>6</v>
      </c>
    </row>
    <row r="479" spans="1:14" x14ac:dyDescent="0.25">
      <c r="A479" s="2">
        <v>2</v>
      </c>
      <c r="B479" s="1" t="s">
        <v>53</v>
      </c>
      <c r="C479" s="1" t="s">
        <v>54</v>
      </c>
      <c r="D479" s="1" t="s">
        <v>56</v>
      </c>
      <c r="E479" s="11" t="s">
        <v>52</v>
      </c>
      <c r="F479" s="12">
        <v>45992</v>
      </c>
      <c r="G479" s="1" t="s">
        <v>37</v>
      </c>
      <c r="H479" s="1" t="s">
        <v>39</v>
      </c>
      <c r="I479" s="2">
        <v>5</v>
      </c>
      <c r="J479" s="3">
        <v>84324</v>
      </c>
      <c r="K479" s="3">
        <v>421620</v>
      </c>
      <c r="L479" s="3">
        <v>177392</v>
      </c>
      <c r="M479" s="3">
        <v>244228</v>
      </c>
      <c r="N479" s="4">
        <v>8</v>
      </c>
    </row>
    <row r="480" spans="1:14" x14ac:dyDescent="0.25">
      <c r="A480" s="2">
        <v>2</v>
      </c>
      <c r="B480" s="1" t="s">
        <v>53</v>
      </c>
      <c r="C480" s="1" t="s">
        <v>54</v>
      </c>
      <c r="D480" s="1" t="s">
        <v>56</v>
      </c>
      <c r="E480" s="11" t="s">
        <v>52</v>
      </c>
      <c r="F480" s="12">
        <v>45992</v>
      </c>
      <c r="G480" s="1" t="s">
        <v>37</v>
      </c>
      <c r="H480" s="1" t="s">
        <v>40</v>
      </c>
      <c r="I480" s="2">
        <v>15</v>
      </c>
      <c r="J480" s="3">
        <v>118317</v>
      </c>
      <c r="K480" s="3">
        <v>1774755</v>
      </c>
      <c r="L480" s="3">
        <v>984004</v>
      </c>
      <c r="M480" s="3">
        <v>790751</v>
      </c>
      <c r="N480" s="4">
        <v>8</v>
      </c>
    </row>
    <row r="481" spans="1:14" x14ac:dyDescent="0.25">
      <c r="A481" s="2">
        <v>2</v>
      </c>
      <c r="B481" s="1" t="s">
        <v>53</v>
      </c>
      <c r="C481" s="1" t="s">
        <v>54</v>
      </c>
      <c r="D481" s="1" t="s">
        <v>56</v>
      </c>
      <c r="E481" s="11" t="s">
        <v>52</v>
      </c>
      <c r="F481" s="12">
        <v>45992</v>
      </c>
      <c r="G481" s="1" t="s">
        <v>37</v>
      </c>
      <c r="H481" s="1" t="s">
        <v>41</v>
      </c>
      <c r="I481" s="2">
        <v>2</v>
      </c>
      <c r="J481" s="3">
        <v>89350</v>
      </c>
      <c r="K481" s="3">
        <v>178700</v>
      </c>
      <c r="L481" s="3">
        <v>80246</v>
      </c>
      <c r="M481" s="3">
        <v>98454</v>
      </c>
      <c r="N481" s="4">
        <v>10</v>
      </c>
    </row>
    <row r="482" spans="1:14" x14ac:dyDescent="0.25">
      <c r="A482" s="2">
        <v>3</v>
      </c>
      <c r="B482" s="1" t="s">
        <v>57</v>
      </c>
      <c r="C482" s="1" t="s">
        <v>58</v>
      </c>
      <c r="D482" s="1" t="s">
        <v>59</v>
      </c>
      <c r="E482" s="11" t="s">
        <v>15</v>
      </c>
      <c r="F482" s="12">
        <v>45658</v>
      </c>
      <c r="G482" s="1" t="s">
        <v>16</v>
      </c>
      <c r="H482" s="1" t="s">
        <v>17</v>
      </c>
      <c r="I482" s="2">
        <v>2</v>
      </c>
      <c r="J482" s="3">
        <v>84674</v>
      </c>
      <c r="K482" s="3">
        <v>169348</v>
      </c>
      <c r="L482" s="3">
        <v>101104</v>
      </c>
      <c r="M482" s="3">
        <v>68244</v>
      </c>
      <c r="N482" s="4">
        <v>14</v>
      </c>
    </row>
    <row r="483" spans="1:14" x14ac:dyDescent="0.25">
      <c r="A483" s="2">
        <v>3</v>
      </c>
      <c r="B483" s="1" t="s">
        <v>57</v>
      </c>
      <c r="C483" s="1" t="s">
        <v>58</v>
      </c>
      <c r="D483" s="1" t="s">
        <v>60</v>
      </c>
      <c r="E483" s="11" t="s">
        <v>15</v>
      </c>
      <c r="F483" s="12">
        <v>45658</v>
      </c>
      <c r="G483" s="1" t="s">
        <v>16</v>
      </c>
      <c r="H483" s="1" t="s">
        <v>19</v>
      </c>
      <c r="I483" s="2">
        <v>1</v>
      </c>
      <c r="J483" s="3">
        <v>41927</v>
      </c>
      <c r="K483" s="3">
        <v>41927</v>
      </c>
      <c r="L483" s="3">
        <v>24301</v>
      </c>
      <c r="M483" s="3">
        <v>17626</v>
      </c>
      <c r="N483" s="4">
        <v>3</v>
      </c>
    </row>
    <row r="484" spans="1:14" x14ac:dyDescent="0.25">
      <c r="A484" s="2">
        <v>3</v>
      </c>
      <c r="B484" s="1" t="s">
        <v>57</v>
      </c>
      <c r="C484" s="1" t="s">
        <v>58</v>
      </c>
      <c r="D484" s="1" t="s">
        <v>59</v>
      </c>
      <c r="E484" s="11" t="s">
        <v>15</v>
      </c>
      <c r="F484" s="12">
        <v>45658</v>
      </c>
      <c r="G484" s="1" t="s">
        <v>16</v>
      </c>
      <c r="H484" s="1" t="s">
        <v>20</v>
      </c>
      <c r="I484" s="2">
        <v>13</v>
      </c>
      <c r="J484" s="3">
        <v>141750</v>
      </c>
      <c r="K484" s="3">
        <v>1842750</v>
      </c>
      <c r="L484" s="3">
        <v>987966</v>
      </c>
      <c r="M484" s="3">
        <v>854784</v>
      </c>
      <c r="N484" s="4">
        <v>10</v>
      </c>
    </row>
    <row r="485" spans="1:14" x14ac:dyDescent="0.25">
      <c r="A485" s="2">
        <v>3</v>
      </c>
      <c r="B485" s="1" t="s">
        <v>57</v>
      </c>
      <c r="C485" s="1" t="s">
        <v>58</v>
      </c>
      <c r="D485" s="1" t="s">
        <v>60</v>
      </c>
      <c r="E485" s="11" t="s">
        <v>15</v>
      </c>
      <c r="F485" s="12">
        <v>45658</v>
      </c>
      <c r="G485" s="1" t="s">
        <v>16</v>
      </c>
      <c r="H485" s="1" t="s">
        <v>21</v>
      </c>
      <c r="I485" s="2">
        <v>10</v>
      </c>
      <c r="J485" s="3">
        <v>64738</v>
      </c>
      <c r="K485" s="3">
        <v>647380</v>
      </c>
      <c r="L485" s="3">
        <v>344799</v>
      </c>
      <c r="M485" s="3">
        <v>302581</v>
      </c>
      <c r="N485" s="4">
        <v>9</v>
      </c>
    </row>
    <row r="486" spans="1:14" x14ac:dyDescent="0.25">
      <c r="A486" s="2">
        <v>3</v>
      </c>
      <c r="B486" s="1" t="s">
        <v>57</v>
      </c>
      <c r="C486" s="1" t="s">
        <v>58</v>
      </c>
      <c r="D486" s="1" t="s">
        <v>59</v>
      </c>
      <c r="E486" s="11" t="s">
        <v>15</v>
      </c>
      <c r="F486" s="12">
        <v>45658</v>
      </c>
      <c r="G486" s="1" t="s">
        <v>22</v>
      </c>
      <c r="H486" s="1" t="s">
        <v>23</v>
      </c>
      <c r="I486" s="2">
        <v>10</v>
      </c>
      <c r="J486" s="3">
        <v>96619</v>
      </c>
      <c r="K486" s="3">
        <v>966190</v>
      </c>
      <c r="L486" s="3">
        <v>626733</v>
      </c>
      <c r="M486" s="3">
        <v>339457</v>
      </c>
      <c r="N486" s="4">
        <v>0</v>
      </c>
    </row>
    <row r="487" spans="1:14" x14ac:dyDescent="0.25">
      <c r="A487" s="2">
        <v>3</v>
      </c>
      <c r="B487" s="1" t="s">
        <v>57</v>
      </c>
      <c r="C487" s="1" t="s">
        <v>58</v>
      </c>
      <c r="D487" s="1" t="s">
        <v>59</v>
      </c>
      <c r="E487" s="11" t="s">
        <v>15</v>
      </c>
      <c r="F487" s="12">
        <v>45658</v>
      </c>
      <c r="G487" s="1" t="s">
        <v>22</v>
      </c>
      <c r="H487" s="1" t="s">
        <v>24</v>
      </c>
      <c r="I487" s="2">
        <v>5</v>
      </c>
      <c r="J487" s="3">
        <v>133939</v>
      </c>
      <c r="K487" s="3">
        <v>669695</v>
      </c>
      <c r="L487" s="3">
        <v>385988</v>
      </c>
      <c r="M487" s="3">
        <v>283707</v>
      </c>
      <c r="N487" s="4">
        <v>11</v>
      </c>
    </row>
    <row r="488" spans="1:14" x14ac:dyDescent="0.25">
      <c r="A488" s="2">
        <v>3</v>
      </c>
      <c r="B488" s="1" t="s">
        <v>57</v>
      </c>
      <c r="C488" s="1" t="s">
        <v>58</v>
      </c>
      <c r="D488" s="1" t="s">
        <v>59</v>
      </c>
      <c r="E488" s="11" t="s">
        <v>15</v>
      </c>
      <c r="F488" s="12">
        <v>45658</v>
      </c>
      <c r="G488" s="1" t="s">
        <v>22</v>
      </c>
      <c r="H488" s="1" t="s">
        <v>25</v>
      </c>
      <c r="I488" s="2">
        <v>1</v>
      </c>
      <c r="J488" s="3">
        <v>128856</v>
      </c>
      <c r="K488" s="3">
        <v>128856</v>
      </c>
      <c r="L488" s="3">
        <v>57999</v>
      </c>
      <c r="M488" s="3">
        <v>70857</v>
      </c>
      <c r="N488" s="4">
        <v>3</v>
      </c>
    </row>
    <row r="489" spans="1:14" x14ac:dyDescent="0.25">
      <c r="A489" s="2">
        <v>3</v>
      </c>
      <c r="B489" s="1" t="s">
        <v>57</v>
      </c>
      <c r="C489" s="1" t="s">
        <v>58</v>
      </c>
      <c r="D489" s="1" t="s">
        <v>60</v>
      </c>
      <c r="E489" s="11" t="s">
        <v>15</v>
      </c>
      <c r="F489" s="12">
        <v>45658</v>
      </c>
      <c r="G489" s="1" t="s">
        <v>22</v>
      </c>
      <c r="H489" s="1" t="s">
        <v>26</v>
      </c>
      <c r="I489" s="2">
        <v>11</v>
      </c>
      <c r="J489" s="3">
        <v>75204</v>
      </c>
      <c r="K489" s="3">
        <v>827244</v>
      </c>
      <c r="L489" s="3">
        <v>419428</v>
      </c>
      <c r="M489" s="3">
        <v>407816</v>
      </c>
      <c r="N489" s="4">
        <v>11</v>
      </c>
    </row>
    <row r="490" spans="1:14" x14ac:dyDescent="0.25">
      <c r="A490" s="2">
        <v>3</v>
      </c>
      <c r="B490" s="1" t="s">
        <v>57</v>
      </c>
      <c r="C490" s="1" t="s">
        <v>58</v>
      </c>
      <c r="D490" s="1" t="s">
        <v>59</v>
      </c>
      <c r="E490" s="11" t="s">
        <v>15</v>
      </c>
      <c r="F490" s="12">
        <v>45658</v>
      </c>
      <c r="G490" s="1" t="s">
        <v>27</v>
      </c>
      <c r="H490" s="1" t="s">
        <v>28</v>
      </c>
      <c r="I490" s="2">
        <v>5</v>
      </c>
      <c r="J490" s="3">
        <v>112464</v>
      </c>
      <c r="K490" s="3">
        <v>562320</v>
      </c>
      <c r="L490" s="3">
        <v>367336</v>
      </c>
      <c r="M490" s="3">
        <v>194984</v>
      </c>
      <c r="N490" s="4">
        <v>11</v>
      </c>
    </row>
    <row r="491" spans="1:14" x14ac:dyDescent="0.25">
      <c r="A491" s="2">
        <v>3</v>
      </c>
      <c r="B491" s="1" t="s">
        <v>57</v>
      </c>
      <c r="C491" s="1" t="s">
        <v>58</v>
      </c>
      <c r="D491" s="1" t="s">
        <v>59</v>
      </c>
      <c r="E491" s="11" t="s">
        <v>15</v>
      </c>
      <c r="F491" s="12">
        <v>45658</v>
      </c>
      <c r="G491" s="1" t="s">
        <v>27</v>
      </c>
      <c r="H491" s="1" t="s">
        <v>29</v>
      </c>
      <c r="I491" s="2">
        <v>15</v>
      </c>
      <c r="J491" s="3">
        <v>87278</v>
      </c>
      <c r="K491" s="3">
        <v>1309170</v>
      </c>
      <c r="L491" s="3">
        <v>742878</v>
      </c>
      <c r="M491" s="3">
        <v>566292</v>
      </c>
      <c r="N491" s="4">
        <v>10</v>
      </c>
    </row>
    <row r="492" spans="1:14" x14ac:dyDescent="0.25">
      <c r="A492" s="2">
        <v>3</v>
      </c>
      <c r="B492" s="1" t="s">
        <v>57</v>
      </c>
      <c r="C492" s="1" t="s">
        <v>58</v>
      </c>
      <c r="D492" s="1" t="s">
        <v>59</v>
      </c>
      <c r="E492" s="11" t="s">
        <v>15</v>
      </c>
      <c r="F492" s="12">
        <v>45658</v>
      </c>
      <c r="G492" s="1" t="s">
        <v>27</v>
      </c>
      <c r="H492" s="1" t="s">
        <v>30</v>
      </c>
      <c r="I492" s="2">
        <v>18</v>
      </c>
      <c r="J492" s="3">
        <v>145261</v>
      </c>
      <c r="K492" s="3">
        <v>2614698</v>
      </c>
      <c r="L492" s="3">
        <v>1090658</v>
      </c>
      <c r="M492" s="3">
        <v>1524040</v>
      </c>
      <c r="N492" s="4">
        <v>14</v>
      </c>
    </row>
    <row r="493" spans="1:14" x14ac:dyDescent="0.25">
      <c r="A493" s="2">
        <v>3</v>
      </c>
      <c r="B493" s="1" t="s">
        <v>57</v>
      </c>
      <c r="C493" s="1" t="s">
        <v>58</v>
      </c>
      <c r="D493" s="1" t="s">
        <v>59</v>
      </c>
      <c r="E493" s="11" t="s">
        <v>15</v>
      </c>
      <c r="F493" s="12">
        <v>45658</v>
      </c>
      <c r="G493" s="1" t="s">
        <v>27</v>
      </c>
      <c r="H493" s="1" t="s">
        <v>31</v>
      </c>
      <c r="I493" s="2">
        <v>5</v>
      </c>
      <c r="J493" s="3">
        <v>111155</v>
      </c>
      <c r="K493" s="3">
        <v>555775</v>
      </c>
      <c r="L493" s="3">
        <v>230929</v>
      </c>
      <c r="M493" s="3">
        <v>324846</v>
      </c>
      <c r="N493" s="4">
        <v>0</v>
      </c>
    </row>
    <row r="494" spans="1:14" x14ac:dyDescent="0.25">
      <c r="A494" s="2">
        <v>3</v>
      </c>
      <c r="B494" s="1" t="s">
        <v>57</v>
      </c>
      <c r="C494" s="1" t="s">
        <v>58</v>
      </c>
      <c r="D494" s="1" t="s">
        <v>60</v>
      </c>
      <c r="E494" s="11" t="s">
        <v>15</v>
      </c>
      <c r="F494" s="12">
        <v>45658</v>
      </c>
      <c r="G494" s="1" t="s">
        <v>32</v>
      </c>
      <c r="H494" s="1" t="s">
        <v>33</v>
      </c>
      <c r="I494" s="2">
        <v>3</v>
      </c>
      <c r="J494" s="3">
        <v>9293</v>
      </c>
      <c r="K494" s="3">
        <v>27879</v>
      </c>
      <c r="L494" s="3">
        <v>12657</v>
      </c>
      <c r="M494" s="3">
        <v>15222</v>
      </c>
      <c r="N494" s="4">
        <v>10</v>
      </c>
    </row>
    <row r="495" spans="1:14" x14ac:dyDescent="0.25">
      <c r="A495" s="2">
        <v>3</v>
      </c>
      <c r="B495" s="1" t="s">
        <v>57</v>
      </c>
      <c r="C495" s="1" t="s">
        <v>58</v>
      </c>
      <c r="D495" s="1" t="s">
        <v>60</v>
      </c>
      <c r="E495" s="11" t="s">
        <v>15</v>
      </c>
      <c r="F495" s="12">
        <v>45658</v>
      </c>
      <c r="G495" s="1" t="s">
        <v>32</v>
      </c>
      <c r="H495" s="1" t="s">
        <v>34</v>
      </c>
      <c r="I495" s="2">
        <v>5</v>
      </c>
      <c r="J495" s="3">
        <v>18472</v>
      </c>
      <c r="K495" s="3">
        <v>92360</v>
      </c>
      <c r="L495" s="3">
        <v>50998</v>
      </c>
      <c r="M495" s="3">
        <v>41362</v>
      </c>
      <c r="N495" s="4">
        <v>13</v>
      </c>
    </row>
    <row r="496" spans="1:14" x14ac:dyDescent="0.25">
      <c r="A496" s="2">
        <v>3</v>
      </c>
      <c r="B496" s="1" t="s">
        <v>57</v>
      </c>
      <c r="C496" s="1" t="s">
        <v>58</v>
      </c>
      <c r="D496" s="1" t="s">
        <v>59</v>
      </c>
      <c r="E496" s="11" t="s">
        <v>15</v>
      </c>
      <c r="F496" s="12">
        <v>45658</v>
      </c>
      <c r="G496" s="1" t="s">
        <v>32</v>
      </c>
      <c r="H496" s="1" t="s">
        <v>35</v>
      </c>
      <c r="I496" s="2">
        <v>12</v>
      </c>
      <c r="J496" s="3">
        <v>9585</v>
      </c>
      <c r="K496" s="3">
        <v>115020</v>
      </c>
      <c r="L496" s="3">
        <v>59719</v>
      </c>
      <c r="M496" s="3">
        <v>55301</v>
      </c>
      <c r="N496" s="4">
        <v>1</v>
      </c>
    </row>
    <row r="497" spans="1:14" x14ac:dyDescent="0.25">
      <c r="A497" s="2">
        <v>3</v>
      </c>
      <c r="B497" s="1" t="s">
        <v>57</v>
      </c>
      <c r="C497" s="1" t="s">
        <v>58</v>
      </c>
      <c r="D497" s="1" t="s">
        <v>60</v>
      </c>
      <c r="E497" s="11" t="s">
        <v>15</v>
      </c>
      <c r="F497" s="12">
        <v>45658</v>
      </c>
      <c r="G497" s="1" t="s">
        <v>32</v>
      </c>
      <c r="H497" s="1" t="s">
        <v>36</v>
      </c>
      <c r="I497" s="2">
        <v>11</v>
      </c>
      <c r="J497" s="3">
        <v>5125</v>
      </c>
      <c r="K497" s="3">
        <v>56375</v>
      </c>
      <c r="L497" s="3">
        <v>38647</v>
      </c>
      <c r="M497" s="3">
        <v>17728</v>
      </c>
      <c r="N497" s="4">
        <v>1</v>
      </c>
    </row>
    <row r="498" spans="1:14" x14ac:dyDescent="0.25">
      <c r="A498" s="2">
        <v>3</v>
      </c>
      <c r="B498" s="1" t="s">
        <v>57</v>
      </c>
      <c r="C498" s="1" t="s">
        <v>58</v>
      </c>
      <c r="D498" s="1" t="s">
        <v>59</v>
      </c>
      <c r="E498" s="11" t="s">
        <v>15</v>
      </c>
      <c r="F498" s="12">
        <v>45658</v>
      </c>
      <c r="G498" s="1" t="s">
        <v>37</v>
      </c>
      <c r="H498" s="1" t="s">
        <v>38</v>
      </c>
      <c r="I498" s="2">
        <v>7</v>
      </c>
      <c r="J498" s="3">
        <v>140030</v>
      </c>
      <c r="K498" s="3">
        <v>980210</v>
      </c>
      <c r="L498" s="3">
        <v>466842</v>
      </c>
      <c r="M498" s="3">
        <v>513368</v>
      </c>
      <c r="N498" s="4">
        <v>10</v>
      </c>
    </row>
    <row r="499" spans="1:14" x14ac:dyDescent="0.25">
      <c r="A499" s="2">
        <v>3</v>
      </c>
      <c r="B499" s="1" t="s">
        <v>57</v>
      </c>
      <c r="C499" s="1" t="s">
        <v>58</v>
      </c>
      <c r="D499" s="1" t="s">
        <v>59</v>
      </c>
      <c r="E499" s="11" t="s">
        <v>15</v>
      </c>
      <c r="F499" s="12">
        <v>45658</v>
      </c>
      <c r="G499" s="1" t="s">
        <v>37</v>
      </c>
      <c r="H499" s="1" t="s">
        <v>39</v>
      </c>
      <c r="I499" s="2">
        <v>18</v>
      </c>
      <c r="J499" s="3">
        <v>29110</v>
      </c>
      <c r="K499" s="3">
        <v>523980</v>
      </c>
      <c r="L499" s="3">
        <v>314419</v>
      </c>
      <c r="M499" s="3">
        <v>209561</v>
      </c>
      <c r="N499" s="4">
        <v>3</v>
      </c>
    </row>
    <row r="500" spans="1:14" x14ac:dyDescent="0.25">
      <c r="A500" s="2">
        <v>3</v>
      </c>
      <c r="B500" s="1" t="s">
        <v>57</v>
      </c>
      <c r="C500" s="1" t="s">
        <v>58</v>
      </c>
      <c r="D500" s="1" t="s">
        <v>59</v>
      </c>
      <c r="E500" s="11" t="s">
        <v>15</v>
      </c>
      <c r="F500" s="12">
        <v>45658</v>
      </c>
      <c r="G500" s="1" t="s">
        <v>37</v>
      </c>
      <c r="H500" s="1" t="s">
        <v>40</v>
      </c>
      <c r="I500" s="2">
        <v>13</v>
      </c>
      <c r="J500" s="3">
        <v>98131</v>
      </c>
      <c r="K500" s="3">
        <v>1275703</v>
      </c>
      <c r="L500" s="3">
        <v>779970</v>
      </c>
      <c r="M500" s="3">
        <v>495733</v>
      </c>
      <c r="N500" s="4">
        <v>9</v>
      </c>
    </row>
    <row r="501" spans="1:14" x14ac:dyDescent="0.25">
      <c r="A501" s="2">
        <v>3</v>
      </c>
      <c r="B501" s="1" t="s">
        <v>57</v>
      </c>
      <c r="C501" s="1" t="s">
        <v>58</v>
      </c>
      <c r="D501" s="1" t="s">
        <v>59</v>
      </c>
      <c r="E501" s="11" t="s">
        <v>15</v>
      </c>
      <c r="F501" s="12">
        <v>45658</v>
      </c>
      <c r="G501" s="1" t="s">
        <v>37</v>
      </c>
      <c r="H501" s="1" t="s">
        <v>41</v>
      </c>
      <c r="I501" s="2">
        <v>8</v>
      </c>
      <c r="J501" s="3">
        <v>30225</v>
      </c>
      <c r="K501" s="3">
        <v>241800</v>
      </c>
      <c r="L501" s="3">
        <v>110382</v>
      </c>
      <c r="M501" s="3">
        <v>131418</v>
      </c>
      <c r="N501" s="4">
        <v>6</v>
      </c>
    </row>
    <row r="502" spans="1:14" x14ac:dyDescent="0.25">
      <c r="A502" s="2">
        <v>3</v>
      </c>
      <c r="B502" s="1" t="s">
        <v>57</v>
      </c>
      <c r="C502" s="1" t="s">
        <v>58</v>
      </c>
      <c r="D502" s="1" t="s">
        <v>59</v>
      </c>
      <c r="E502" s="11" t="s">
        <v>42</v>
      </c>
      <c r="F502" s="12">
        <v>45689</v>
      </c>
      <c r="G502" s="1" t="s">
        <v>16</v>
      </c>
      <c r="H502" s="1" t="s">
        <v>17</v>
      </c>
      <c r="I502" s="2">
        <v>8</v>
      </c>
      <c r="J502" s="3">
        <v>43196</v>
      </c>
      <c r="K502" s="3">
        <v>345568</v>
      </c>
      <c r="L502" s="3">
        <v>184230</v>
      </c>
      <c r="M502" s="3">
        <v>161338</v>
      </c>
      <c r="N502" s="4">
        <v>4</v>
      </c>
    </row>
    <row r="503" spans="1:14" x14ac:dyDescent="0.25">
      <c r="A503" s="2">
        <v>3</v>
      </c>
      <c r="B503" s="1" t="s">
        <v>57</v>
      </c>
      <c r="C503" s="1" t="s">
        <v>58</v>
      </c>
      <c r="D503" s="1" t="s">
        <v>60</v>
      </c>
      <c r="E503" s="11" t="s">
        <v>42</v>
      </c>
      <c r="F503" s="12">
        <v>45689</v>
      </c>
      <c r="G503" s="1" t="s">
        <v>16</v>
      </c>
      <c r="H503" s="1" t="s">
        <v>19</v>
      </c>
      <c r="I503" s="2">
        <v>15</v>
      </c>
      <c r="J503" s="3">
        <v>130677</v>
      </c>
      <c r="K503" s="3">
        <v>1960155</v>
      </c>
      <c r="L503" s="3">
        <v>934194</v>
      </c>
      <c r="M503" s="3">
        <v>1025961</v>
      </c>
      <c r="N503" s="4">
        <v>0</v>
      </c>
    </row>
    <row r="504" spans="1:14" x14ac:dyDescent="0.25">
      <c r="A504" s="2">
        <v>3</v>
      </c>
      <c r="B504" s="1" t="s">
        <v>57</v>
      </c>
      <c r="C504" s="1" t="s">
        <v>58</v>
      </c>
      <c r="D504" s="1" t="s">
        <v>60</v>
      </c>
      <c r="E504" s="11" t="s">
        <v>42</v>
      </c>
      <c r="F504" s="12">
        <v>45689</v>
      </c>
      <c r="G504" s="1" t="s">
        <v>16</v>
      </c>
      <c r="H504" s="1" t="s">
        <v>20</v>
      </c>
      <c r="I504" s="2">
        <v>11</v>
      </c>
      <c r="J504" s="3">
        <v>108009</v>
      </c>
      <c r="K504" s="3">
        <v>1188099</v>
      </c>
      <c r="L504" s="3">
        <v>481482</v>
      </c>
      <c r="M504" s="3">
        <v>706617</v>
      </c>
      <c r="N504" s="4">
        <v>1</v>
      </c>
    </row>
    <row r="505" spans="1:14" x14ac:dyDescent="0.25">
      <c r="A505" s="2">
        <v>3</v>
      </c>
      <c r="B505" s="1" t="s">
        <v>57</v>
      </c>
      <c r="C505" s="1" t="s">
        <v>58</v>
      </c>
      <c r="D505" s="1" t="s">
        <v>59</v>
      </c>
      <c r="E505" s="11" t="s">
        <v>42</v>
      </c>
      <c r="F505" s="12">
        <v>45689</v>
      </c>
      <c r="G505" s="1" t="s">
        <v>16</v>
      </c>
      <c r="H505" s="1" t="s">
        <v>21</v>
      </c>
      <c r="I505" s="2">
        <v>17</v>
      </c>
      <c r="J505" s="3">
        <v>44089</v>
      </c>
      <c r="K505" s="3">
        <v>749513</v>
      </c>
      <c r="L505" s="3">
        <v>495181</v>
      </c>
      <c r="M505" s="3">
        <v>254332</v>
      </c>
      <c r="N505" s="4">
        <v>7</v>
      </c>
    </row>
    <row r="506" spans="1:14" x14ac:dyDescent="0.25">
      <c r="A506" s="2">
        <v>3</v>
      </c>
      <c r="B506" s="1" t="s">
        <v>57</v>
      </c>
      <c r="C506" s="1" t="s">
        <v>58</v>
      </c>
      <c r="D506" s="1" t="s">
        <v>60</v>
      </c>
      <c r="E506" s="11" t="s">
        <v>42</v>
      </c>
      <c r="F506" s="12">
        <v>45689</v>
      </c>
      <c r="G506" s="1" t="s">
        <v>22</v>
      </c>
      <c r="H506" s="1" t="s">
        <v>23</v>
      </c>
      <c r="I506" s="2">
        <v>17</v>
      </c>
      <c r="J506" s="3">
        <v>114795</v>
      </c>
      <c r="K506" s="3">
        <v>1951515</v>
      </c>
      <c r="L506" s="3">
        <v>846826</v>
      </c>
      <c r="M506" s="3">
        <v>1104689</v>
      </c>
      <c r="N506" s="4">
        <v>8</v>
      </c>
    </row>
    <row r="507" spans="1:14" x14ac:dyDescent="0.25">
      <c r="A507" s="2">
        <v>3</v>
      </c>
      <c r="B507" s="1" t="s">
        <v>57</v>
      </c>
      <c r="C507" s="1" t="s">
        <v>58</v>
      </c>
      <c r="D507" s="1" t="s">
        <v>60</v>
      </c>
      <c r="E507" s="11" t="s">
        <v>42</v>
      </c>
      <c r="F507" s="12">
        <v>45689</v>
      </c>
      <c r="G507" s="1" t="s">
        <v>22</v>
      </c>
      <c r="H507" s="1" t="s">
        <v>24</v>
      </c>
      <c r="I507" s="2">
        <v>14</v>
      </c>
      <c r="J507" s="3">
        <v>50659</v>
      </c>
      <c r="K507" s="3">
        <v>709226</v>
      </c>
      <c r="L507" s="3">
        <v>427630</v>
      </c>
      <c r="M507" s="3">
        <v>281596</v>
      </c>
      <c r="N507" s="4">
        <v>2</v>
      </c>
    </row>
    <row r="508" spans="1:14" x14ac:dyDescent="0.25">
      <c r="A508" s="2">
        <v>3</v>
      </c>
      <c r="B508" s="1" t="s">
        <v>57</v>
      </c>
      <c r="C508" s="1" t="s">
        <v>58</v>
      </c>
      <c r="D508" s="1" t="s">
        <v>59</v>
      </c>
      <c r="E508" s="11" t="s">
        <v>42</v>
      </c>
      <c r="F508" s="12">
        <v>45689</v>
      </c>
      <c r="G508" s="1" t="s">
        <v>22</v>
      </c>
      <c r="H508" s="1" t="s">
        <v>25</v>
      </c>
      <c r="I508" s="2">
        <v>16</v>
      </c>
      <c r="J508" s="3">
        <v>132269</v>
      </c>
      <c r="K508" s="3">
        <v>2116304</v>
      </c>
      <c r="L508" s="3">
        <v>1096582</v>
      </c>
      <c r="M508" s="3">
        <v>1019722</v>
      </c>
      <c r="N508" s="4">
        <v>4</v>
      </c>
    </row>
    <row r="509" spans="1:14" x14ac:dyDescent="0.25">
      <c r="A509" s="2">
        <v>3</v>
      </c>
      <c r="B509" s="1" t="s">
        <v>57</v>
      </c>
      <c r="C509" s="1" t="s">
        <v>58</v>
      </c>
      <c r="D509" s="1" t="s">
        <v>60</v>
      </c>
      <c r="E509" s="11" t="s">
        <v>42</v>
      </c>
      <c r="F509" s="12">
        <v>45689</v>
      </c>
      <c r="G509" s="1" t="s">
        <v>22</v>
      </c>
      <c r="H509" s="1" t="s">
        <v>26</v>
      </c>
      <c r="I509" s="2">
        <v>9</v>
      </c>
      <c r="J509" s="3">
        <v>130169</v>
      </c>
      <c r="K509" s="3">
        <v>1171521</v>
      </c>
      <c r="L509" s="3">
        <v>591116</v>
      </c>
      <c r="M509" s="3">
        <v>580405</v>
      </c>
      <c r="N509" s="4">
        <v>1</v>
      </c>
    </row>
    <row r="510" spans="1:14" x14ac:dyDescent="0.25">
      <c r="A510" s="2">
        <v>3</v>
      </c>
      <c r="B510" s="1" t="s">
        <v>57</v>
      </c>
      <c r="C510" s="1" t="s">
        <v>58</v>
      </c>
      <c r="D510" s="1" t="s">
        <v>60</v>
      </c>
      <c r="E510" s="11" t="s">
        <v>42</v>
      </c>
      <c r="F510" s="12">
        <v>45689</v>
      </c>
      <c r="G510" s="1" t="s">
        <v>27</v>
      </c>
      <c r="H510" s="1" t="s">
        <v>28</v>
      </c>
      <c r="I510" s="2">
        <v>18</v>
      </c>
      <c r="J510" s="3">
        <v>37087</v>
      </c>
      <c r="K510" s="3">
        <v>667566</v>
      </c>
      <c r="L510" s="3">
        <v>276681</v>
      </c>
      <c r="M510" s="3">
        <v>390885</v>
      </c>
      <c r="N510" s="4">
        <v>8</v>
      </c>
    </row>
    <row r="511" spans="1:14" x14ac:dyDescent="0.25">
      <c r="A511" s="2">
        <v>3</v>
      </c>
      <c r="B511" s="1" t="s">
        <v>57</v>
      </c>
      <c r="C511" s="1" t="s">
        <v>58</v>
      </c>
      <c r="D511" s="1" t="s">
        <v>59</v>
      </c>
      <c r="E511" s="11" t="s">
        <v>42</v>
      </c>
      <c r="F511" s="12">
        <v>45689</v>
      </c>
      <c r="G511" s="1" t="s">
        <v>27</v>
      </c>
      <c r="H511" s="1" t="s">
        <v>29</v>
      </c>
      <c r="I511" s="2">
        <v>1</v>
      </c>
      <c r="J511" s="3">
        <v>93384</v>
      </c>
      <c r="K511" s="3">
        <v>93384</v>
      </c>
      <c r="L511" s="3">
        <v>65182</v>
      </c>
      <c r="M511" s="3">
        <v>28202</v>
      </c>
      <c r="N511" s="4">
        <v>12</v>
      </c>
    </row>
    <row r="512" spans="1:14" x14ac:dyDescent="0.25">
      <c r="A512" s="2">
        <v>3</v>
      </c>
      <c r="B512" s="1" t="s">
        <v>57</v>
      </c>
      <c r="C512" s="1" t="s">
        <v>58</v>
      </c>
      <c r="D512" s="1" t="s">
        <v>60</v>
      </c>
      <c r="E512" s="11" t="s">
        <v>42</v>
      </c>
      <c r="F512" s="12">
        <v>45689</v>
      </c>
      <c r="G512" s="1" t="s">
        <v>27</v>
      </c>
      <c r="H512" s="1" t="s">
        <v>30</v>
      </c>
      <c r="I512" s="2">
        <v>9</v>
      </c>
      <c r="J512" s="3">
        <v>138516</v>
      </c>
      <c r="K512" s="3">
        <v>1246644</v>
      </c>
      <c r="L512" s="3">
        <v>710717</v>
      </c>
      <c r="M512" s="3">
        <v>535927</v>
      </c>
      <c r="N512" s="4">
        <v>8</v>
      </c>
    </row>
    <row r="513" spans="1:14" x14ac:dyDescent="0.25">
      <c r="A513" s="2">
        <v>3</v>
      </c>
      <c r="B513" s="1" t="s">
        <v>57</v>
      </c>
      <c r="C513" s="1" t="s">
        <v>58</v>
      </c>
      <c r="D513" s="1" t="s">
        <v>59</v>
      </c>
      <c r="E513" s="11" t="s">
        <v>42</v>
      </c>
      <c r="F513" s="12">
        <v>45689</v>
      </c>
      <c r="G513" s="1" t="s">
        <v>27</v>
      </c>
      <c r="H513" s="1" t="s">
        <v>31</v>
      </c>
      <c r="I513" s="2">
        <v>11</v>
      </c>
      <c r="J513" s="3">
        <v>45923</v>
      </c>
      <c r="K513" s="3">
        <v>505153</v>
      </c>
      <c r="L513" s="3">
        <v>300643</v>
      </c>
      <c r="M513" s="3">
        <v>204510</v>
      </c>
      <c r="N513" s="4">
        <v>5</v>
      </c>
    </row>
    <row r="514" spans="1:14" x14ac:dyDescent="0.25">
      <c r="A514" s="2">
        <v>3</v>
      </c>
      <c r="B514" s="1" t="s">
        <v>57</v>
      </c>
      <c r="C514" s="1" t="s">
        <v>58</v>
      </c>
      <c r="D514" s="1" t="s">
        <v>60</v>
      </c>
      <c r="E514" s="11" t="s">
        <v>42</v>
      </c>
      <c r="F514" s="12">
        <v>45689</v>
      </c>
      <c r="G514" s="1" t="s">
        <v>32</v>
      </c>
      <c r="H514" s="1" t="s">
        <v>33</v>
      </c>
      <c r="I514" s="2">
        <v>14</v>
      </c>
      <c r="J514" s="3">
        <v>6667</v>
      </c>
      <c r="K514" s="3">
        <v>93338</v>
      </c>
      <c r="L514" s="3">
        <v>56028</v>
      </c>
      <c r="M514" s="3">
        <v>37310</v>
      </c>
      <c r="N514" s="4">
        <v>5</v>
      </c>
    </row>
    <row r="515" spans="1:14" x14ac:dyDescent="0.25">
      <c r="A515" s="2">
        <v>3</v>
      </c>
      <c r="B515" s="1" t="s">
        <v>57</v>
      </c>
      <c r="C515" s="1" t="s">
        <v>58</v>
      </c>
      <c r="D515" s="1" t="s">
        <v>60</v>
      </c>
      <c r="E515" s="11" t="s">
        <v>42</v>
      </c>
      <c r="F515" s="12">
        <v>45689</v>
      </c>
      <c r="G515" s="1" t="s">
        <v>32</v>
      </c>
      <c r="H515" s="1" t="s">
        <v>34</v>
      </c>
      <c r="I515" s="2">
        <v>2</v>
      </c>
      <c r="J515" s="3">
        <v>12761</v>
      </c>
      <c r="K515" s="3">
        <v>25522</v>
      </c>
      <c r="L515" s="3">
        <v>16930</v>
      </c>
      <c r="M515" s="3">
        <v>8592</v>
      </c>
      <c r="N515" s="4">
        <v>6</v>
      </c>
    </row>
    <row r="516" spans="1:14" x14ac:dyDescent="0.25">
      <c r="A516" s="2">
        <v>3</v>
      </c>
      <c r="B516" s="1" t="s">
        <v>57</v>
      </c>
      <c r="C516" s="1" t="s">
        <v>58</v>
      </c>
      <c r="D516" s="1" t="s">
        <v>59</v>
      </c>
      <c r="E516" s="11" t="s">
        <v>42</v>
      </c>
      <c r="F516" s="12">
        <v>45689</v>
      </c>
      <c r="G516" s="1" t="s">
        <v>32</v>
      </c>
      <c r="H516" s="1" t="s">
        <v>35</v>
      </c>
      <c r="I516" s="2">
        <v>19</v>
      </c>
      <c r="J516" s="3">
        <v>6388</v>
      </c>
      <c r="K516" s="3">
        <v>121372</v>
      </c>
      <c r="L516" s="3">
        <v>78327</v>
      </c>
      <c r="M516" s="3">
        <v>43045</v>
      </c>
      <c r="N516" s="4">
        <v>7</v>
      </c>
    </row>
    <row r="517" spans="1:14" x14ac:dyDescent="0.25">
      <c r="A517" s="2">
        <v>3</v>
      </c>
      <c r="B517" s="1" t="s">
        <v>57</v>
      </c>
      <c r="C517" s="1" t="s">
        <v>58</v>
      </c>
      <c r="D517" s="1" t="s">
        <v>60</v>
      </c>
      <c r="E517" s="11" t="s">
        <v>42</v>
      </c>
      <c r="F517" s="12">
        <v>45689</v>
      </c>
      <c r="G517" s="1" t="s">
        <v>32</v>
      </c>
      <c r="H517" s="1" t="s">
        <v>36</v>
      </c>
      <c r="I517" s="2">
        <v>7</v>
      </c>
      <c r="J517" s="3">
        <v>14816</v>
      </c>
      <c r="K517" s="3">
        <v>103712</v>
      </c>
      <c r="L517" s="3">
        <v>51701</v>
      </c>
      <c r="M517" s="3">
        <v>52011</v>
      </c>
      <c r="N517" s="4">
        <v>0</v>
      </c>
    </row>
    <row r="518" spans="1:14" x14ac:dyDescent="0.25">
      <c r="A518" s="2">
        <v>3</v>
      </c>
      <c r="B518" s="1" t="s">
        <v>57</v>
      </c>
      <c r="C518" s="1" t="s">
        <v>58</v>
      </c>
      <c r="D518" s="1" t="s">
        <v>60</v>
      </c>
      <c r="E518" s="11" t="s">
        <v>42</v>
      </c>
      <c r="F518" s="12">
        <v>45689</v>
      </c>
      <c r="G518" s="1" t="s">
        <v>37</v>
      </c>
      <c r="H518" s="1" t="s">
        <v>38</v>
      </c>
      <c r="I518" s="2">
        <v>12</v>
      </c>
      <c r="J518" s="3">
        <v>146969</v>
      </c>
      <c r="K518" s="3">
        <v>1763628</v>
      </c>
      <c r="L518" s="3">
        <v>915061</v>
      </c>
      <c r="M518" s="3">
        <v>848567</v>
      </c>
      <c r="N518" s="4">
        <v>4</v>
      </c>
    </row>
    <row r="519" spans="1:14" x14ac:dyDescent="0.25">
      <c r="A519" s="2">
        <v>3</v>
      </c>
      <c r="B519" s="1" t="s">
        <v>57</v>
      </c>
      <c r="C519" s="1" t="s">
        <v>58</v>
      </c>
      <c r="D519" s="1" t="s">
        <v>60</v>
      </c>
      <c r="E519" s="11" t="s">
        <v>42</v>
      </c>
      <c r="F519" s="12">
        <v>45689</v>
      </c>
      <c r="G519" s="1" t="s">
        <v>37</v>
      </c>
      <c r="H519" s="1" t="s">
        <v>39</v>
      </c>
      <c r="I519" s="2">
        <v>19</v>
      </c>
      <c r="J519" s="3">
        <v>55643</v>
      </c>
      <c r="K519" s="3">
        <v>1057217</v>
      </c>
      <c r="L519" s="3">
        <v>596851</v>
      </c>
      <c r="M519" s="3">
        <v>460366</v>
      </c>
      <c r="N519" s="4">
        <v>0</v>
      </c>
    </row>
    <row r="520" spans="1:14" x14ac:dyDescent="0.25">
      <c r="A520" s="2">
        <v>3</v>
      </c>
      <c r="B520" s="1" t="s">
        <v>57</v>
      </c>
      <c r="C520" s="1" t="s">
        <v>58</v>
      </c>
      <c r="D520" s="1" t="s">
        <v>60</v>
      </c>
      <c r="E520" s="11" t="s">
        <v>42</v>
      </c>
      <c r="F520" s="12">
        <v>45689</v>
      </c>
      <c r="G520" s="1" t="s">
        <v>37</v>
      </c>
      <c r="H520" s="1" t="s">
        <v>40</v>
      </c>
      <c r="I520" s="2">
        <v>17</v>
      </c>
      <c r="J520" s="3">
        <v>28927</v>
      </c>
      <c r="K520" s="3">
        <v>491759</v>
      </c>
      <c r="L520" s="3">
        <v>251768</v>
      </c>
      <c r="M520" s="3">
        <v>239991</v>
      </c>
      <c r="N520" s="4">
        <v>11</v>
      </c>
    </row>
    <row r="521" spans="1:14" x14ac:dyDescent="0.25">
      <c r="A521" s="2">
        <v>3</v>
      </c>
      <c r="B521" s="1" t="s">
        <v>57</v>
      </c>
      <c r="C521" s="1" t="s">
        <v>58</v>
      </c>
      <c r="D521" s="1" t="s">
        <v>60</v>
      </c>
      <c r="E521" s="11" t="s">
        <v>42</v>
      </c>
      <c r="F521" s="12">
        <v>45689</v>
      </c>
      <c r="G521" s="1" t="s">
        <v>37</v>
      </c>
      <c r="H521" s="1" t="s">
        <v>41</v>
      </c>
      <c r="I521" s="2">
        <v>6</v>
      </c>
      <c r="J521" s="3">
        <v>83449</v>
      </c>
      <c r="K521" s="3">
        <v>500694</v>
      </c>
      <c r="L521" s="3">
        <v>288459</v>
      </c>
      <c r="M521" s="3">
        <v>212235</v>
      </c>
      <c r="N521" s="4">
        <v>7</v>
      </c>
    </row>
    <row r="522" spans="1:14" x14ac:dyDescent="0.25">
      <c r="A522" s="2">
        <v>3</v>
      </c>
      <c r="B522" s="1" t="s">
        <v>57</v>
      </c>
      <c r="C522" s="1" t="s">
        <v>58</v>
      </c>
      <c r="D522" s="1" t="s">
        <v>59</v>
      </c>
      <c r="E522" s="11" t="s">
        <v>43</v>
      </c>
      <c r="F522" s="12">
        <v>45717</v>
      </c>
      <c r="G522" s="1" t="s">
        <v>16</v>
      </c>
      <c r="H522" s="1" t="s">
        <v>17</v>
      </c>
      <c r="I522" s="2">
        <v>14</v>
      </c>
      <c r="J522" s="3">
        <v>141805</v>
      </c>
      <c r="K522" s="3">
        <v>1985270</v>
      </c>
      <c r="L522" s="3">
        <v>1163064</v>
      </c>
      <c r="M522" s="3">
        <v>822206</v>
      </c>
      <c r="N522" s="4">
        <v>13</v>
      </c>
    </row>
    <row r="523" spans="1:14" x14ac:dyDescent="0.25">
      <c r="A523" s="2">
        <v>3</v>
      </c>
      <c r="B523" s="1" t="s">
        <v>57</v>
      </c>
      <c r="C523" s="1" t="s">
        <v>58</v>
      </c>
      <c r="D523" s="1" t="s">
        <v>60</v>
      </c>
      <c r="E523" s="11" t="s">
        <v>43</v>
      </c>
      <c r="F523" s="12">
        <v>45717</v>
      </c>
      <c r="G523" s="1" t="s">
        <v>16</v>
      </c>
      <c r="H523" s="1" t="s">
        <v>19</v>
      </c>
      <c r="I523" s="2">
        <v>9</v>
      </c>
      <c r="J523" s="3">
        <v>127522</v>
      </c>
      <c r="K523" s="3">
        <v>1147698</v>
      </c>
      <c r="L523" s="3">
        <v>645820</v>
      </c>
      <c r="M523" s="3">
        <v>501878</v>
      </c>
      <c r="N523" s="4">
        <v>7</v>
      </c>
    </row>
    <row r="524" spans="1:14" x14ac:dyDescent="0.25">
      <c r="A524" s="2">
        <v>3</v>
      </c>
      <c r="B524" s="1" t="s">
        <v>57</v>
      </c>
      <c r="C524" s="1" t="s">
        <v>58</v>
      </c>
      <c r="D524" s="1" t="s">
        <v>60</v>
      </c>
      <c r="E524" s="11" t="s">
        <v>43</v>
      </c>
      <c r="F524" s="12">
        <v>45717</v>
      </c>
      <c r="G524" s="1" t="s">
        <v>16</v>
      </c>
      <c r="H524" s="1" t="s">
        <v>20</v>
      </c>
      <c r="I524" s="2">
        <v>16</v>
      </c>
      <c r="J524" s="3">
        <v>148449</v>
      </c>
      <c r="K524" s="3">
        <v>2375184</v>
      </c>
      <c r="L524" s="3">
        <v>1291517</v>
      </c>
      <c r="M524" s="3">
        <v>1083667</v>
      </c>
      <c r="N524" s="4">
        <v>4</v>
      </c>
    </row>
    <row r="525" spans="1:14" x14ac:dyDescent="0.25">
      <c r="A525" s="2">
        <v>3</v>
      </c>
      <c r="B525" s="1" t="s">
        <v>57</v>
      </c>
      <c r="C525" s="1" t="s">
        <v>58</v>
      </c>
      <c r="D525" s="1" t="s">
        <v>59</v>
      </c>
      <c r="E525" s="11" t="s">
        <v>43</v>
      </c>
      <c r="F525" s="12">
        <v>45717</v>
      </c>
      <c r="G525" s="1" t="s">
        <v>16</v>
      </c>
      <c r="H525" s="1" t="s">
        <v>21</v>
      </c>
      <c r="I525" s="2">
        <v>12</v>
      </c>
      <c r="J525" s="3">
        <v>41636</v>
      </c>
      <c r="K525" s="3">
        <v>499632</v>
      </c>
      <c r="L525" s="3">
        <v>259632</v>
      </c>
      <c r="M525" s="3">
        <v>240000</v>
      </c>
      <c r="N525" s="4">
        <v>4</v>
      </c>
    </row>
    <row r="526" spans="1:14" x14ac:dyDescent="0.25">
      <c r="A526" s="2">
        <v>3</v>
      </c>
      <c r="B526" s="1" t="s">
        <v>57</v>
      </c>
      <c r="C526" s="1" t="s">
        <v>58</v>
      </c>
      <c r="D526" s="1" t="s">
        <v>59</v>
      </c>
      <c r="E526" s="11" t="s">
        <v>43</v>
      </c>
      <c r="F526" s="12">
        <v>45717</v>
      </c>
      <c r="G526" s="1" t="s">
        <v>22</v>
      </c>
      <c r="H526" s="1" t="s">
        <v>23</v>
      </c>
      <c r="I526" s="2">
        <v>15</v>
      </c>
      <c r="J526" s="3">
        <v>31563</v>
      </c>
      <c r="K526" s="3">
        <v>473445</v>
      </c>
      <c r="L526" s="3">
        <v>257084</v>
      </c>
      <c r="M526" s="3">
        <v>216361</v>
      </c>
      <c r="N526" s="4">
        <v>10</v>
      </c>
    </row>
    <row r="527" spans="1:14" x14ac:dyDescent="0.25">
      <c r="A527" s="2">
        <v>3</v>
      </c>
      <c r="B527" s="1" t="s">
        <v>57</v>
      </c>
      <c r="C527" s="1" t="s">
        <v>58</v>
      </c>
      <c r="D527" s="1" t="s">
        <v>59</v>
      </c>
      <c r="E527" s="11" t="s">
        <v>43</v>
      </c>
      <c r="F527" s="12">
        <v>45717</v>
      </c>
      <c r="G527" s="1" t="s">
        <v>22</v>
      </c>
      <c r="H527" s="1" t="s">
        <v>24</v>
      </c>
      <c r="I527" s="2">
        <v>16</v>
      </c>
      <c r="J527" s="3">
        <v>46966</v>
      </c>
      <c r="K527" s="3">
        <v>751456</v>
      </c>
      <c r="L527" s="3">
        <v>483859</v>
      </c>
      <c r="M527" s="3">
        <v>267597</v>
      </c>
      <c r="N527" s="4">
        <v>1</v>
      </c>
    </row>
    <row r="528" spans="1:14" x14ac:dyDescent="0.25">
      <c r="A528" s="2">
        <v>3</v>
      </c>
      <c r="B528" s="1" t="s">
        <v>57</v>
      </c>
      <c r="C528" s="1" t="s">
        <v>58</v>
      </c>
      <c r="D528" s="1" t="s">
        <v>60</v>
      </c>
      <c r="E528" s="11" t="s">
        <v>43</v>
      </c>
      <c r="F528" s="12">
        <v>45717</v>
      </c>
      <c r="G528" s="1" t="s">
        <v>22</v>
      </c>
      <c r="H528" s="1" t="s">
        <v>25</v>
      </c>
      <c r="I528" s="2">
        <v>12</v>
      </c>
      <c r="J528" s="3">
        <v>98714</v>
      </c>
      <c r="K528" s="3">
        <v>1184568</v>
      </c>
      <c r="L528" s="3">
        <v>659058</v>
      </c>
      <c r="M528" s="3">
        <v>525510</v>
      </c>
      <c r="N528" s="4">
        <v>4</v>
      </c>
    </row>
    <row r="529" spans="1:14" x14ac:dyDescent="0.25">
      <c r="A529" s="2">
        <v>3</v>
      </c>
      <c r="B529" s="1" t="s">
        <v>57</v>
      </c>
      <c r="C529" s="1" t="s">
        <v>58</v>
      </c>
      <c r="D529" s="1" t="s">
        <v>59</v>
      </c>
      <c r="E529" s="11" t="s">
        <v>43</v>
      </c>
      <c r="F529" s="12">
        <v>45717</v>
      </c>
      <c r="G529" s="1" t="s">
        <v>22</v>
      </c>
      <c r="H529" s="1" t="s">
        <v>26</v>
      </c>
      <c r="I529" s="2">
        <v>11</v>
      </c>
      <c r="J529" s="3">
        <v>127510</v>
      </c>
      <c r="K529" s="3">
        <v>1402610</v>
      </c>
      <c r="L529" s="3">
        <v>938366</v>
      </c>
      <c r="M529" s="3">
        <v>464244</v>
      </c>
      <c r="N529" s="4">
        <v>4</v>
      </c>
    </row>
    <row r="530" spans="1:14" x14ac:dyDescent="0.25">
      <c r="A530" s="2">
        <v>3</v>
      </c>
      <c r="B530" s="1" t="s">
        <v>57</v>
      </c>
      <c r="C530" s="1" t="s">
        <v>58</v>
      </c>
      <c r="D530" s="1" t="s">
        <v>59</v>
      </c>
      <c r="E530" s="11" t="s">
        <v>43</v>
      </c>
      <c r="F530" s="12">
        <v>45717</v>
      </c>
      <c r="G530" s="1" t="s">
        <v>27</v>
      </c>
      <c r="H530" s="1" t="s">
        <v>28</v>
      </c>
      <c r="I530" s="2">
        <v>15</v>
      </c>
      <c r="J530" s="3">
        <v>76088</v>
      </c>
      <c r="K530" s="3">
        <v>1141320</v>
      </c>
      <c r="L530" s="3">
        <v>680692</v>
      </c>
      <c r="M530" s="3">
        <v>460628</v>
      </c>
      <c r="N530" s="4">
        <v>2</v>
      </c>
    </row>
    <row r="531" spans="1:14" x14ac:dyDescent="0.25">
      <c r="A531" s="2">
        <v>3</v>
      </c>
      <c r="B531" s="1" t="s">
        <v>57</v>
      </c>
      <c r="C531" s="1" t="s">
        <v>58</v>
      </c>
      <c r="D531" s="1" t="s">
        <v>60</v>
      </c>
      <c r="E531" s="11" t="s">
        <v>43</v>
      </c>
      <c r="F531" s="12">
        <v>45717</v>
      </c>
      <c r="G531" s="1" t="s">
        <v>27</v>
      </c>
      <c r="H531" s="1" t="s">
        <v>29</v>
      </c>
      <c r="I531" s="2">
        <v>15</v>
      </c>
      <c r="J531" s="3">
        <v>65379</v>
      </c>
      <c r="K531" s="3">
        <v>980685</v>
      </c>
      <c r="L531" s="3">
        <v>667190</v>
      </c>
      <c r="M531" s="3">
        <v>313495</v>
      </c>
      <c r="N531" s="4">
        <v>5</v>
      </c>
    </row>
    <row r="532" spans="1:14" x14ac:dyDescent="0.25">
      <c r="A532" s="2">
        <v>3</v>
      </c>
      <c r="B532" s="1" t="s">
        <v>57</v>
      </c>
      <c r="C532" s="1" t="s">
        <v>58</v>
      </c>
      <c r="D532" s="1" t="s">
        <v>60</v>
      </c>
      <c r="E532" s="11" t="s">
        <v>43</v>
      </c>
      <c r="F532" s="12">
        <v>45717</v>
      </c>
      <c r="G532" s="1" t="s">
        <v>27</v>
      </c>
      <c r="H532" s="1" t="s">
        <v>30</v>
      </c>
      <c r="I532" s="2">
        <v>19</v>
      </c>
      <c r="J532" s="3">
        <v>66881</v>
      </c>
      <c r="K532" s="3">
        <v>1270739</v>
      </c>
      <c r="L532" s="3">
        <v>571704</v>
      </c>
      <c r="M532" s="3">
        <v>699035</v>
      </c>
      <c r="N532" s="4">
        <v>3</v>
      </c>
    </row>
    <row r="533" spans="1:14" x14ac:dyDescent="0.25">
      <c r="A533" s="2">
        <v>3</v>
      </c>
      <c r="B533" s="1" t="s">
        <v>57</v>
      </c>
      <c r="C533" s="1" t="s">
        <v>58</v>
      </c>
      <c r="D533" s="1" t="s">
        <v>60</v>
      </c>
      <c r="E533" s="11" t="s">
        <v>43</v>
      </c>
      <c r="F533" s="12">
        <v>45717</v>
      </c>
      <c r="G533" s="1" t="s">
        <v>27</v>
      </c>
      <c r="H533" s="1" t="s">
        <v>31</v>
      </c>
      <c r="I533" s="2">
        <v>16</v>
      </c>
      <c r="J533" s="3">
        <v>77716</v>
      </c>
      <c r="K533" s="3">
        <v>1243456</v>
      </c>
      <c r="L533" s="3">
        <v>603650</v>
      </c>
      <c r="M533" s="3">
        <v>639806</v>
      </c>
      <c r="N533" s="4">
        <v>10</v>
      </c>
    </row>
    <row r="534" spans="1:14" x14ac:dyDescent="0.25">
      <c r="A534" s="2">
        <v>3</v>
      </c>
      <c r="B534" s="1" t="s">
        <v>57</v>
      </c>
      <c r="C534" s="1" t="s">
        <v>58</v>
      </c>
      <c r="D534" s="1" t="s">
        <v>60</v>
      </c>
      <c r="E534" s="11" t="s">
        <v>43</v>
      </c>
      <c r="F534" s="12">
        <v>45717</v>
      </c>
      <c r="G534" s="1" t="s">
        <v>32</v>
      </c>
      <c r="H534" s="1" t="s">
        <v>33</v>
      </c>
      <c r="I534" s="2">
        <v>15</v>
      </c>
      <c r="J534" s="3">
        <v>18467</v>
      </c>
      <c r="K534" s="3">
        <v>277005</v>
      </c>
      <c r="L534" s="3">
        <v>155607</v>
      </c>
      <c r="M534" s="3">
        <v>121398</v>
      </c>
      <c r="N534" s="4">
        <v>9</v>
      </c>
    </row>
    <row r="535" spans="1:14" x14ac:dyDescent="0.25">
      <c r="A535" s="2">
        <v>3</v>
      </c>
      <c r="B535" s="1" t="s">
        <v>57</v>
      </c>
      <c r="C535" s="1" t="s">
        <v>58</v>
      </c>
      <c r="D535" s="1" t="s">
        <v>60</v>
      </c>
      <c r="E535" s="11" t="s">
        <v>43</v>
      </c>
      <c r="F535" s="12">
        <v>45717</v>
      </c>
      <c r="G535" s="1" t="s">
        <v>32</v>
      </c>
      <c r="H535" s="1" t="s">
        <v>34</v>
      </c>
      <c r="I535" s="2">
        <v>4</v>
      </c>
      <c r="J535" s="3">
        <v>14873</v>
      </c>
      <c r="K535" s="3">
        <v>59492</v>
      </c>
      <c r="L535" s="3">
        <v>30934</v>
      </c>
      <c r="M535" s="3">
        <v>28558</v>
      </c>
      <c r="N535" s="4">
        <v>12</v>
      </c>
    </row>
    <row r="536" spans="1:14" x14ac:dyDescent="0.25">
      <c r="A536" s="2">
        <v>3</v>
      </c>
      <c r="B536" s="1" t="s">
        <v>57</v>
      </c>
      <c r="C536" s="1" t="s">
        <v>58</v>
      </c>
      <c r="D536" s="1" t="s">
        <v>60</v>
      </c>
      <c r="E536" s="11" t="s">
        <v>43</v>
      </c>
      <c r="F536" s="12">
        <v>45717</v>
      </c>
      <c r="G536" s="1" t="s">
        <v>32</v>
      </c>
      <c r="H536" s="1" t="s">
        <v>35</v>
      </c>
      <c r="I536" s="2">
        <v>4</v>
      </c>
      <c r="J536" s="3">
        <v>7137</v>
      </c>
      <c r="K536" s="3">
        <v>28548</v>
      </c>
      <c r="L536" s="3">
        <v>12463</v>
      </c>
      <c r="M536" s="3">
        <v>16085</v>
      </c>
      <c r="N536" s="4">
        <v>10</v>
      </c>
    </row>
    <row r="537" spans="1:14" x14ac:dyDescent="0.25">
      <c r="A537" s="2">
        <v>3</v>
      </c>
      <c r="B537" s="1" t="s">
        <v>57</v>
      </c>
      <c r="C537" s="1" t="s">
        <v>58</v>
      </c>
      <c r="D537" s="1" t="s">
        <v>59</v>
      </c>
      <c r="E537" s="11" t="s">
        <v>43</v>
      </c>
      <c r="F537" s="12">
        <v>45717</v>
      </c>
      <c r="G537" s="1" t="s">
        <v>32</v>
      </c>
      <c r="H537" s="1" t="s">
        <v>36</v>
      </c>
      <c r="I537" s="2">
        <v>7</v>
      </c>
      <c r="J537" s="3">
        <v>16371</v>
      </c>
      <c r="K537" s="3">
        <v>114597</v>
      </c>
      <c r="L537" s="3">
        <v>52076</v>
      </c>
      <c r="M537" s="3">
        <v>62521</v>
      </c>
      <c r="N537" s="4">
        <v>12</v>
      </c>
    </row>
    <row r="538" spans="1:14" x14ac:dyDescent="0.25">
      <c r="A538" s="2">
        <v>3</v>
      </c>
      <c r="B538" s="1" t="s">
        <v>57</v>
      </c>
      <c r="C538" s="1" t="s">
        <v>58</v>
      </c>
      <c r="D538" s="1" t="s">
        <v>60</v>
      </c>
      <c r="E538" s="11" t="s">
        <v>43</v>
      </c>
      <c r="F538" s="12">
        <v>45717</v>
      </c>
      <c r="G538" s="1" t="s">
        <v>37</v>
      </c>
      <c r="H538" s="1" t="s">
        <v>38</v>
      </c>
      <c r="I538" s="2">
        <v>7</v>
      </c>
      <c r="J538" s="3">
        <v>109022</v>
      </c>
      <c r="K538" s="3">
        <v>763154</v>
      </c>
      <c r="L538" s="3">
        <v>329730</v>
      </c>
      <c r="M538" s="3">
        <v>433424</v>
      </c>
      <c r="N538" s="4">
        <v>9</v>
      </c>
    </row>
    <row r="539" spans="1:14" x14ac:dyDescent="0.25">
      <c r="A539" s="2">
        <v>3</v>
      </c>
      <c r="B539" s="1" t="s">
        <v>57</v>
      </c>
      <c r="C539" s="1" t="s">
        <v>58</v>
      </c>
      <c r="D539" s="1" t="s">
        <v>59</v>
      </c>
      <c r="E539" s="11" t="s">
        <v>43</v>
      </c>
      <c r="F539" s="12">
        <v>45717</v>
      </c>
      <c r="G539" s="1" t="s">
        <v>37</v>
      </c>
      <c r="H539" s="1" t="s">
        <v>39</v>
      </c>
      <c r="I539" s="2">
        <v>10</v>
      </c>
      <c r="J539" s="3">
        <v>139735</v>
      </c>
      <c r="K539" s="3">
        <v>1397350</v>
      </c>
      <c r="L539" s="3">
        <v>962603</v>
      </c>
      <c r="M539" s="3">
        <v>434747</v>
      </c>
      <c r="N539" s="4">
        <v>3</v>
      </c>
    </row>
    <row r="540" spans="1:14" x14ac:dyDescent="0.25">
      <c r="A540" s="2">
        <v>3</v>
      </c>
      <c r="B540" s="1" t="s">
        <v>57</v>
      </c>
      <c r="C540" s="1" t="s">
        <v>58</v>
      </c>
      <c r="D540" s="1" t="s">
        <v>59</v>
      </c>
      <c r="E540" s="11" t="s">
        <v>43</v>
      </c>
      <c r="F540" s="12">
        <v>45717</v>
      </c>
      <c r="G540" s="1" t="s">
        <v>37</v>
      </c>
      <c r="H540" s="1" t="s">
        <v>40</v>
      </c>
      <c r="I540" s="2">
        <v>7</v>
      </c>
      <c r="J540" s="3">
        <v>79189</v>
      </c>
      <c r="K540" s="3">
        <v>554323</v>
      </c>
      <c r="L540" s="3">
        <v>313230</v>
      </c>
      <c r="M540" s="3">
        <v>241093</v>
      </c>
      <c r="N540" s="4">
        <v>7</v>
      </c>
    </row>
    <row r="541" spans="1:14" x14ac:dyDescent="0.25">
      <c r="A541" s="2">
        <v>3</v>
      </c>
      <c r="B541" s="1" t="s">
        <v>57</v>
      </c>
      <c r="C541" s="1" t="s">
        <v>58</v>
      </c>
      <c r="D541" s="1" t="s">
        <v>59</v>
      </c>
      <c r="E541" s="11" t="s">
        <v>43</v>
      </c>
      <c r="F541" s="12">
        <v>45717</v>
      </c>
      <c r="G541" s="1" t="s">
        <v>37</v>
      </c>
      <c r="H541" s="1" t="s">
        <v>41</v>
      </c>
      <c r="I541" s="2">
        <v>13</v>
      </c>
      <c r="J541" s="3">
        <v>33673</v>
      </c>
      <c r="K541" s="3">
        <v>437749</v>
      </c>
      <c r="L541" s="3">
        <v>189847</v>
      </c>
      <c r="M541" s="3">
        <v>247902</v>
      </c>
      <c r="N541" s="4">
        <v>12</v>
      </c>
    </row>
    <row r="542" spans="1:14" x14ac:dyDescent="0.25">
      <c r="A542" s="2">
        <v>3</v>
      </c>
      <c r="B542" s="1" t="s">
        <v>57</v>
      </c>
      <c r="C542" s="1" t="s">
        <v>58</v>
      </c>
      <c r="D542" s="1" t="s">
        <v>60</v>
      </c>
      <c r="E542" s="11" t="s">
        <v>44</v>
      </c>
      <c r="F542" s="12">
        <v>45748</v>
      </c>
      <c r="G542" s="1" t="s">
        <v>16</v>
      </c>
      <c r="H542" s="1" t="s">
        <v>17</v>
      </c>
      <c r="I542" s="2">
        <v>9</v>
      </c>
      <c r="J542" s="3">
        <v>72249</v>
      </c>
      <c r="K542" s="3">
        <v>650241</v>
      </c>
      <c r="L542" s="3">
        <v>301460</v>
      </c>
      <c r="M542" s="3">
        <v>348781</v>
      </c>
      <c r="N542" s="4">
        <v>9</v>
      </c>
    </row>
    <row r="543" spans="1:14" x14ac:dyDescent="0.25">
      <c r="A543" s="2">
        <v>3</v>
      </c>
      <c r="B543" s="1" t="s">
        <v>57</v>
      </c>
      <c r="C543" s="1" t="s">
        <v>58</v>
      </c>
      <c r="D543" s="1" t="s">
        <v>59</v>
      </c>
      <c r="E543" s="11" t="s">
        <v>44</v>
      </c>
      <c r="F543" s="12">
        <v>45748</v>
      </c>
      <c r="G543" s="1" t="s">
        <v>16</v>
      </c>
      <c r="H543" s="1" t="s">
        <v>19</v>
      </c>
      <c r="I543" s="2">
        <v>10</v>
      </c>
      <c r="J543" s="3">
        <v>145511</v>
      </c>
      <c r="K543" s="3">
        <v>1455110</v>
      </c>
      <c r="L543" s="3">
        <v>918150</v>
      </c>
      <c r="M543" s="3">
        <v>536960</v>
      </c>
      <c r="N543" s="4">
        <v>0</v>
      </c>
    </row>
    <row r="544" spans="1:14" x14ac:dyDescent="0.25">
      <c r="A544" s="2">
        <v>3</v>
      </c>
      <c r="B544" s="1" t="s">
        <v>57</v>
      </c>
      <c r="C544" s="1" t="s">
        <v>58</v>
      </c>
      <c r="D544" s="1" t="s">
        <v>59</v>
      </c>
      <c r="E544" s="11" t="s">
        <v>44</v>
      </c>
      <c r="F544" s="12">
        <v>45748</v>
      </c>
      <c r="G544" s="1" t="s">
        <v>16</v>
      </c>
      <c r="H544" s="1" t="s">
        <v>20</v>
      </c>
      <c r="I544" s="2">
        <v>5</v>
      </c>
      <c r="J544" s="3">
        <v>140387</v>
      </c>
      <c r="K544" s="3">
        <v>701935</v>
      </c>
      <c r="L544" s="3">
        <v>338642</v>
      </c>
      <c r="M544" s="3">
        <v>363293</v>
      </c>
      <c r="N544" s="4">
        <v>2</v>
      </c>
    </row>
    <row r="545" spans="1:14" x14ac:dyDescent="0.25">
      <c r="A545" s="2">
        <v>3</v>
      </c>
      <c r="B545" s="1" t="s">
        <v>57</v>
      </c>
      <c r="C545" s="1" t="s">
        <v>58</v>
      </c>
      <c r="D545" s="1" t="s">
        <v>60</v>
      </c>
      <c r="E545" s="11" t="s">
        <v>44</v>
      </c>
      <c r="F545" s="12">
        <v>45748</v>
      </c>
      <c r="G545" s="1" t="s">
        <v>16</v>
      </c>
      <c r="H545" s="1" t="s">
        <v>21</v>
      </c>
      <c r="I545" s="2">
        <v>4</v>
      </c>
      <c r="J545" s="3">
        <v>27227</v>
      </c>
      <c r="K545" s="3">
        <v>108908</v>
      </c>
      <c r="L545" s="3">
        <v>65500</v>
      </c>
      <c r="M545" s="3">
        <v>43408</v>
      </c>
      <c r="N545" s="4">
        <v>8</v>
      </c>
    </row>
    <row r="546" spans="1:14" x14ac:dyDescent="0.25">
      <c r="A546" s="2">
        <v>3</v>
      </c>
      <c r="B546" s="1" t="s">
        <v>57</v>
      </c>
      <c r="C546" s="1" t="s">
        <v>58</v>
      </c>
      <c r="D546" s="1" t="s">
        <v>60</v>
      </c>
      <c r="E546" s="11" t="s">
        <v>44</v>
      </c>
      <c r="F546" s="12">
        <v>45748</v>
      </c>
      <c r="G546" s="1" t="s">
        <v>22</v>
      </c>
      <c r="H546" s="1" t="s">
        <v>23</v>
      </c>
      <c r="I546" s="2">
        <v>18</v>
      </c>
      <c r="J546" s="3">
        <v>123314</v>
      </c>
      <c r="K546" s="3">
        <v>2219652</v>
      </c>
      <c r="L546" s="3">
        <v>1303285</v>
      </c>
      <c r="M546" s="3">
        <v>916367</v>
      </c>
      <c r="N546" s="4">
        <v>0</v>
      </c>
    </row>
    <row r="547" spans="1:14" x14ac:dyDescent="0.25">
      <c r="A547" s="2">
        <v>3</v>
      </c>
      <c r="B547" s="1" t="s">
        <v>57</v>
      </c>
      <c r="C547" s="1" t="s">
        <v>58</v>
      </c>
      <c r="D547" s="1" t="s">
        <v>60</v>
      </c>
      <c r="E547" s="11" t="s">
        <v>44</v>
      </c>
      <c r="F547" s="12">
        <v>45748</v>
      </c>
      <c r="G547" s="1" t="s">
        <v>22</v>
      </c>
      <c r="H547" s="1" t="s">
        <v>24</v>
      </c>
      <c r="I547" s="2">
        <v>18</v>
      </c>
      <c r="J547" s="3">
        <v>147556</v>
      </c>
      <c r="K547" s="3">
        <v>2656008</v>
      </c>
      <c r="L547" s="3">
        <v>1196277</v>
      </c>
      <c r="M547" s="3">
        <v>1459731</v>
      </c>
      <c r="N547" s="4">
        <v>2</v>
      </c>
    </row>
    <row r="548" spans="1:14" x14ac:dyDescent="0.25">
      <c r="A548" s="2">
        <v>3</v>
      </c>
      <c r="B548" s="1" t="s">
        <v>57</v>
      </c>
      <c r="C548" s="1" t="s">
        <v>58</v>
      </c>
      <c r="D548" s="1" t="s">
        <v>59</v>
      </c>
      <c r="E548" s="11" t="s">
        <v>44</v>
      </c>
      <c r="F548" s="12">
        <v>45748</v>
      </c>
      <c r="G548" s="1" t="s">
        <v>22</v>
      </c>
      <c r="H548" s="1" t="s">
        <v>25</v>
      </c>
      <c r="I548" s="2">
        <v>12</v>
      </c>
      <c r="J548" s="3">
        <v>37633</v>
      </c>
      <c r="K548" s="3">
        <v>451596</v>
      </c>
      <c r="L548" s="3">
        <v>244705</v>
      </c>
      <c r="M548" s="3">
        <v>206891</v>
      </c>
      <c r="N548" s="4">
        <v>4</v>
      </c>
    </row>
    <row r="549" spans="1:14" x14ac:dyDescent="0.25">
      <c r="A549" s="2">
        <v>3</v>
      </c>
      <c r="B549" s="1" t="s">
        <v>57</v>
      </c>
      <c r="C549" s="1" t="s">
        <v>58</v>
      </c>
      <c r="D549" s="1" t="s">
        <v>59</v>
      </c>
      <c r="E549" s="11" t="s">
        <v>44</v>
      </c>
      <c r="F549" s="12">
        <v>45748</v>
      </c>
      <c r="G549" s="1" t="s">
        <v>22</v>
      </c>
      <c r="H549" s="1" t="s">
        <v>26</v>
      </c>
      <c r="I549" s="2">
        <v>17</v>
      </c>
      <c r="J549" s="3">
        <v>61621</v>
      </c>
      <c r="K549" s="3">
        <v>1047557</v>
      </c>
      <c r="L549" s="3">
        <v>426451</v>
      </c>
      <c r="M549" s="3">
        <v>621106</v>
      </c>
      <c r="N549" s="4">
        <v>14</v>
      </c>
    </row>
    <row r="550" spans="1:14" x14ac:dyDescent="0.25">
      <c r="A550" s="2">
        <v>3</v>
      </c>
      <c r="B550" s="1" t="s">
        <v>57</v>
      </c>
      <c r="C550" s="1" t="s">
        <v>58</v>
      </c>
      <c r="D550" s="1" t="s">
        <v>60</v>
      </c>
      <c r="E550" s="11" t="s">
        <v>44</v>
      </c>
      <c r="F550" s="12">
        <v>45748</v>
      </c>
      <c r="G550" s="1" t="s">
        <v>27</v>
      </c>
      <c r="H550" s="1" t="s">
        <v>28</v>
      </c>
      <c r="I550" s="2">
        <v>3</v>
      </c>
      <c r="J550" s="3">
        <v>53755</v>
      </c>
      <c r="K550" s="3">
        <v>161265</v>
      </c>
      <c r="L550" s="3">
        <v>74481</v>
      </c>
      <c r="M550" s="3">
        <v>86784</v>
      </c>
      <c r="N550" s="4">
        <v>10</v>
      </c>
    </row>
    <row r="551" spans="1:14" x14ac:dyDescent="0.25">
      <c r="A551" s="2">
        <v>3</v>
      </c>
      <c r="B551" s="1" t="s">
        <v>57</v>
      </c>
      <c r="C551" s="1" t="s">
        <v>58</v>
      </c>
      <c r="D551" s="1" t="s">
        <v>60</v>
      </c>
      <c r="E551" s="11" t="s">
        <v>44</v>
      </c>
      <c r="F551" s="12">
        <v>45748</v>
      </c>
      <c r="G551" s="1" t="s">
        <v>27</v>
      </c>
      <c r="H551" s="1" t="s">
        <v>29</v>
      </c>
      <c r="I551" s="2">
        <v>10</v>
      </c>
      <c r="J551" s="3">
        <v>94696</v>
      </c>
      <c r="K551" s="3">
        <v>946960</v>
      </c>
      <c r="L551" s="3">
        <v>489835</v>
      </c>
      <c r="M551" s="3">
        <v>457125</v>
      </c>
      <c r="N551" s="4">
        <v>12</v>
      </c>
    </row>
    <row r="552" spans="1:14" x14ac:dyDescent="0.25">
      <c r="A552" s="2">
        <v>3</v>
      </c>
      <c r="B552" s="1" t="s">
        <v>57</v>
      </c>
      <c r="C552" s="1" t="s">
        <v>58</v>
      </c>
      <c r="D552" s="1" t="s">
        <v>59</v>
      </c>
      <c r="E552" s="11" t="s">
        <v>44</v>
      </c>
      <c r="F552" s="12">
        <v>45748</v>
      </c>
      <c r="G552" s="1" t="s">
        <v>27</v>
      </c>
      <c r="H552" s="1" t="s">
        <v>30</v>
      </c>
      <c r="I552" s="2">
        <v>2</v>
      </c>
      <c r="J552" s="3">
        <v>37727</v>
      </c>
      <c r="K552" s="3">
        <v>75454</v>
      </c>
      <c r="L552" s="3">
        <v>33270</v>
      </c>
      <c r="M552" s="3">
        <v>42184</v>
      </c>
      <c r="N552" s="4">
        <v>4</v>
      </c>
    </row>
    <row r="553" spans="1:14" x14ac:dyDescent="0.25">
      <c r="A553" s="2">
        <v>3</v>
      </c>
      <c r="B553" s="1" t="s">
        <v>57</v>
      </c>
      <c r="C553" s="1" t="s">
        <v>58</v>
      </c>
      <c r="D553" s="1" t="s">
        <v>60</v>
      </c>
      <c r="E553" s="11" t="s">
        <v>44</v>
      </c>
      <c r="F553" s="12">
        <v>45748</v>
      </c>
      <c r="G553" s="1" t="s">
        <v>27</v>
      </c>
      <c r="H553" s="1" t="s">
        <v>31</v>
      </c>
      <c r="I553" s="2">
        <v>18</v>
      </c>
      <c r="J553" s="3">
        <v>114018</v>
      </c>
      <c r="K553" s="3">
        <v>2052324</v>
      </c>
      <c r="L553" s="3">
        <v>1093509</v>
      </c>
      <c r="M553" s="3">
        <v>958815</v>
      </c>
      <c r="N553" s="4">
        <v>12</v>
      </c>
    </row>
    <row r="554" spans="1:14" x14ac:dyDescent="0.25">
      <c r="A554" s="2">
        <v>3</v>
      </c>
      <c r="B554" s="1" t="s">
        <v>57</v>
      </c>
      <c r="C554" s="1" t="s">
        <v>58</v>
      </c>
      <c r="D554" s="1" t="s">
        <v>60</v>
      </c>
      <c r="E554" s="11" t="s">
        <v>44</v>
      </c>
      <c r="F554" s="12">
        <v>45748</v>
      </c>
      <c r="G554" s="1" t="s">
        <v>32</v>
      </c>
      <c r="H554" s="1" t="s">
        <v>33</v>
      </c>
      <c r="I554" s="2">
        <v>7</v>
      </c>
      <c r="J554" s="3">
        <v>17200</v>
      </c>
      <c r="K554" s="3">
        <v>120400</v>
      </c>
      <c r="L554" s="3">
        <v>73170</v>
      </c>
      <c r="M554" s="3">
        <v>47230</v>
      </c>
      <c r="N554" s="4">
        <v>6</v>
      </c>
    </row>
    <row r="555" spans="1:14" x14ac:dyDescent="0.25">
      <c r="A555" s="2">
        <v>3</v>
      </c>
      <c r="B555" s="1" t="s">
        <v>57</v>
      </c>
      <c r="C555" s="1" t="s">
        <v>58</v>
      </c>
      <c r="D555" s="1" t="s">
        <v>59</v>
      </c>
      <c r="E555" s="11" t="s">
        <v>44</v>
      </c>
      <c r="F555" s="12">
        <v>45748</v>
      </c>
      <c r="G555" s="1" t="s">
        <v>32</v>
      </c>
      <c r="H555" s="1" t="s">
        <v>34</v>
      </c>
      <c r="I555" s="2">
        <v>14</v>
      </c>
      <c r="J555" s="3">
        <v>16794</v>
      </c>
      <c r="K555" s="3">
        <v>235116</v>
      </c>
      <c r="L555" s="3">
        <v>136594</v>
      </c>
      <c r="M555" s="3">
        <v>98522</v>
      </c>
      <c r="N555" s="4">
        <v>5</v>
      </c>
    </row>
    <row r="556" spans="1:14" x14ac:dyDescent="0.25">
      <c r="A556" s="2">
        <v>3</v>
      </c>
      <c r="B556" s="1" t="s">
        <v>57</v>
      </c>
      <c r="C556" s="1" t="s">
        <v>58</v>
      </c>
      <c r="D556" s="1" t="s">
        <v>59</v>
      </c>
      <c r="E556" s="11" t="s">
        <v>44</v>
      </c>
      <c r="F556" s="12">
        <v>45748</v>
      </c>
      <c r="G556" s="1" t="s">
        <v>32</v>
      </c>
      <c r="H556" s="1" t="s">
        <v>35</v>
      </c>
      <c r="I556" s="2">
        <v>10</v>
      </c>
      <c r="J556" s="3">
        <v>19623</v>
      </c>
      <c r="K556" s="3">
        <v>196230</v>
      </c>
      <c r="L556" s="3">
        <v>94631</v>
      </c>
      <c r="M556" s="3">
        <v>101599</v>
      </c>
      <c r="N556" s="4">
        <v>13</v>
      </c>
    </row>
    <row r="557" spans="1:14" x14ac:dyDescent="0.25">
      <c r="A557" s="2">
        <v>3</v>
      </c>
      <c r="B557" s="1" t="s">
        <v>57</v>
      </c>
      <c r="C557" s="1" t="s">
        <v>58</v>
      </c>
      <c r="D557" s="1" t="s">
        <v>60</v>
      </c>
      <c r="E557" s="11" t="s">
        <v>44</v>
      </c>
      <c r="F557" s="12">
        <v>45748</v>
      </c>
      <c r="G557" s="1" t="s">
        <v>32</v>
      </c>
      <c r="H557" s="1" t="s">
        <v>36</v>
      </c>
      <c r="I557" s="2">
        <v>4</v>
      </c>
      <c r="J557" s="3">
        <v>18031</v>
      </c>
      <c r="K557" s="3">
        <v>72124</v>
      </c>
      <c r="L557" s="3">
        <v>42811</v>
      </c>
      <c r="M557" s="3">
        <v>29313</v>
      </c>
      <c r="N557" s="4">
        <v>3</v>
      </c>
    </row>
    <row r="558" spans="1:14" x14ac:dyDescent="0.25">
      <c r="A558" s="2">
        <v>3</v>
      </c>
      <c r="B558" s="1" t="s">
        <v>57</v>
      </c>
      <c r="C558" s="1" t="s">
        <v>58</v>
      </c>
      <c r="D558" s="1" t="s">
        <v>60</v>
      </c>
      <c r="E558" s="11" t="s">
        <v>44</v>
      </c>
      <c r="F558" s="12">
        <v>45748</v>
      </c>
      <c r="G558" s="1" t="s">
        <v>37</v>
      </c>
      <c r="H558" s="1" t="s">
        <v>38</v>
      </c>
      <c r="I558" s="2">
        <v>3</v>
      </c>
      <c r="J558" s="3">
        <v>36456</v>
      </c>
      <c r="K558" s="3">
        <v>109368</v>
      </c>
      <c r="L558" s="3">
        <v>54357</v>
      </c>
      <c r="M558" s="3">
        <v>55011</v>
      </c>
      <c r="N558" s="4">
        <v>10</v>
      </c>
    </row>
    <row r="559" spans="1:14" x14ac:dyDescent="0.25">
      <c r="A559" s="2">
        <v>3</v>
      </c>
      <c r="B559" s="1" t="s">
        <v>57</v>
      </c>
      <c r="C559" s="1" t="s">
        <v>58</v>
      </c>
      <c r="D559" s="1" t="s">
        <v>60</v>
      </c>
      <c r="E559" s="11" t="s">
        <v>44</v>
      </c>
      <c r="F559" s="12">
        <v>45748</v>
      </c>
      <c r="G559" s="1" t="s">
        <v>37</v>
      </c>
      <c r="H559" s="1" t="s">
        <v>39</v>
      </c>
      <c r="I559" s="2">
        <v>6</v>
      </c>
      <c r="J559" s="3">
        <v>88008</v>
      </c>
      <c r="K559" s="3">
        <v>528048</v>
      </c>
      <c r="L559" s="3">
        <v>308985</v>
      </c>
      <c r="M559" s="3">
        <v>219063</v>
      </c>
      <c r="N559" s="4">
        <v>12</v>
      </c>
    </row>
    <row r="560" spans="1:14" x14ac:dyDescent="0.25">
      <c r="A560" s="2">
        <v>3</v>
      </c>
      <c r="B560" s="1" t="s">
        <v>57</v>
      </c>
      <c r="C560" s="1" t="s">
        <v>58</v>
      </c>
      <c r="D560" s="1" t="s">
        <v>60</v>
      </c>
      <c r="E560" s="11" t="s">
        <v>44</v>
      </c>
      <c r="F560" s="12">
        <v>45748</v>
      </c>
      <c r="G560" s="1" t="s">
        <v>37</v>
      </c>
      <c r="H560" s="1" t="s">
        <v>40</v>
      </c>
      <c r="I560" s="2">
        <v>17</v>
      </c>
      <c r="J560" s="3">
        <v>84315</v>
      </c>
      <c r="K560" s="3">
        <v>1433355</v>
      </c>
      <c r="L560" s="3">
        <v>602415</v>
      </c>
      <c r="M560" s="3">
        <v>830940</v>
      </c>
      <c r="N560" s="4">
        <v>4</v>
      </c>
    </row>
    <row r="561" spans="1:14" x14ac:dyDescent="0.25">
      <c r="A561" s="2">
        <v>3</v>
      </c>
      <c r="B561" s="1" t="s">
        <v>57</v>
      </c>
      <c r="C561" s="1" t="s">
        <v>58</v>
      </c>
      <c r="D561" s="1" t="s">
        <v>59</v>
      </c>
      <c r="E561" s="11" t="s">
        <v>44</v>
      </c>
      <c r="F561" s="12">
        <v>45748</v>
      </c>
      <c r="G561" s="1" t="s">
        <v>37</v>
      </c>
      <c r="H561" s="1" t="s">
        <v>41</v>
      </c>
      <c r="I561" s="2">
        <v>12</v>
      </c>
      <c r="J561" s="3">
        <v>56378</v>
      </c>
      <c r="K561" s="3">
        <v>676536</v>
      </c>
      <c r="L561" s="3">
        <v>400543</v>
      </c>
      <c r="M561" s="3">
        <v>275993</v>
      </c>
      <c r="N561" s="4">
        <v>7</v>
      </c>
    </row>
    <row r="562" spans="1:14" x14ac:dyDescent="0.25">
      <c r="A562" s="2">
        <v>3</v>
      </c>
      <c r="B562" s="1" t="s">
        <v>57</v>
      </c>
      <c r="C562" s="1" t="s">
        <v>58</v>
      </c>
      <c r="D562" s="1" t="s">
        <v>60</v>
      </c>
      <c r="E562" s="11" t="s">
        <v>45</v>
      </c>
      <c r="F562" s="12">
        <v>45778</v>
      </c>
      <c r="G562" s="1" t="s">
        <v>16</v>
      </c>
      <c r="H562" s="1" t="s">
        <v>17</v>
      </c>
      <c r="I562" s="2">
        <v>6</v>
      </c>
      <c r="J562" s="3">
        <v>54503</v>
      </c>
      <c r="K562" s="3">
        <v>327018</v>
      </c>
      <c r="L562" s="3">
        <v>194661</v>
      </c>
      <c r="M562" s="3">
        <v>132357</v>
      </c>
      <c r="N562" s="4">
        <v>5</v>
      </c>
    </row>
    <row r="563" spans="1:14" x14ac:dyDescent="0.25">
      <c r="A563" s="2">
        <v>3</v>
      </c>
      <c r="B563" s="1" t="s">
        <v>57</v>
      </c>
      <c r="C563" s="1" t="s">
        <v>58</v>
      </c>
      <c r="D563" s="1" t="s">
        <v>60</v>
      </c>
      <c r="E563" s="11" t="s">
        <v>45</v>
      </c>
      <c r="F563" s="12">
        <v>45778</v>
      </c>
      <c r="G563" s="1" t="s">
        <v>16</v>
      </c>
      <c r="H563" s="1" t="s">
        <v>19</v>
      </c>
      <c r="I563" s="2">
        <v>12</v>
      </c>
      <c r="J563" s="3">
        <v>120732</v>
      </c>
      <c r="K563" s="3">
        <v>1448784</v>
      </c>
      <c r="L563" s="3">
        <v>778080</v>
      </c>
      <c r="M563" s="3">
        <v>670704</v>
      </c>
      <c r="N563" s="4">
        <v>5</v>
      </c>
    </row>
    <row r="564" spans="1:14" x14ac:dyDescent="0.25">
      <c r="A564" s="2">
        <v>3</v>
      </c>
      <c r="B564" s="1" t="s">
        <v>57</v>
      </c>
      <c r="C564" s="1" t="s">
        <v>58</v>
      </c>
      <c r="D564" s="1" t="s">
        <v>60</v>
      </c>
      <c r="E564" s="11" t="s">
        <v>45</v>
      </c>
      <c r="F564" s="12">
        <v>45778</v>
      </c>
      <c r="G564" s="1" t="s">
        <v>16</v>
      </c>
      <c r="H564" s="1" t="s">
        <v>20</v>
      </c>
      <c r="I564" s="2">
        <v>6</v>
      </c>
      <c r="J564" s="3">
        <v>25249</v>
      </c>
      <c r="K564" s="3">
        <v>151494</v>
      </c>
      <c r="L564" s="3">
        <v>105779</v>
      </c>
      <c r="M564" s="3">
        <v>45715</v>
      </c>
      <c r="N564" s="4">
        <v>1</v>
      </c>
    </row>
    <row r="565" spans="1:14" x14ac:dyDescent="0.25">
      <c r="A565" s="2">
        <v>3</v>
      </c>
      <c r="B565" s="1" t="s">
        <v>57</v>
      </c>
      <c r="C565" s="1" t="s">
        <v>58</v>
      </c>
      <c r="D565" s="1" t="s">
        <v>59</v>
      </c>
      <c r="E565" s="11" t="s">
        <v>45</v>
      </c>
      <c r="F565" s="12">
        <v>45778</v>
      </c>
      <c r="G565" s="1" t="s">
        <v>16</v>
      </c>
      <c r="H565" s="1" t="s">
        <v>21</v>
      </c>
      <c r="I565" s="2">
        <v>6</v>
      </c>
      <c r="J565" s="3">
        <v>78576</v>
      </c>
      <c r="K565" s="3">
        <v>471456</v>
      </c>
      <c r="L565" s="3">
        <v>329379</v>
      </c>
      <c r="M565" s="3">
        <v>142077</v>
      </c>
      <c r="N565" s="4">
        <v>6</v>
      </c>
    </row>
    <row r="566" spans="1:14" x14ac:dyDescent="0.25">
      <c r="A566" s="2">
        <v>3</v>
      </c>
      <c r="B566" s="1" t="s">
        <v>57</v>
      </c>
      <c r="C566" s="1" t="s">
        <v>58</v>
      </c>
      <c r="D566" s="1" t="s">
        <v>60</v>
      </c>
      <c r="E566" s="11" t="s">
        <v>45</v>
      </c>
      <c r="F566" s="12">
        <v>45778</v>
      </c>
      <c r="G566" s="1" t="s">
        <v>22</v>
      </c>
      <c r="H566" s="1" t="s">
        <v>23</v>
      </c>
      <c r="I566" s="2">
        <v>8</v>
      </c>
      <c r="J566" s="3">
        <v>20661</v>
      </c>
      <c r="K566" s="3">
        <v>165288</v>
      </c>
      <c r="L566" s="3">
        <v>93997</v>
      </c>
      <c r="M566" s="3">
        <v>71291</v>
      </c>
      <c r="N566" s="4">
        <v>3</v>
      </c>
    </row>
    <row r="567" spans="1:14" x14ac:dyDescent="0.25">
      <c r="A567" s="2">
        <v>3</v>
      </c>
      <c r="B567" s="1" t="s">
        <v>57</v>
      </c>
      <c r="C567" s="1" t="s">
        <v>58</v>
      </c>
      <c r="D567" s="1" t="s">
        <v>59</v>
      </c>
      <c r="E567" s="11" t="s">
        <v>45</v>
      </c>
      <c r="F567" s="12">
        <v>45778</v>
      </c>
      <c r="G567" s="1" t="s">
        <v>22</v>
      </c>
      <c r="H567" s="1" t="s">
        <v>24</v>
      </c>
      <c r="I567" s="2">
        <v>5</v>
      </c>
      <c r="J567" s="3">
        <v>62828</v>
      </c>
      <c r="K567" s="3">
        <v>314140</v>
      </c>
      <c r="L567" s="3">
        <v>185495</v>
      </c>
      <c r="M567" s="3">
        <v>128645</v>
      </c>
      <c r="N567" s="4">
        <v>14</v>
      </c>
    </row>
    <row r="568" spans="1:14" x14ac:dyDescent="0.25">
      <c r="A568" s="2">
        <v>3</v>
      </c>
      <c r="B568" s="1" t="s">
        <v>57</v>
      </c>
      <c r="C568" s="1" t="s">
        <v>58</v>
      </c>
      <c r="D568" s="1" t="s">
        <v>60</v>
      </c>
      <c r="E568" s="11" t="s">
        <v>45</v>
      </c>
      <c r="F568" s="12">
        <v>45778</v>
      </c>
      <c r="G568" s="1" t="s">
        <v>22</v>
      </c>
      <c r="H568" s="1" t="s">
        <v>25</v>
      </c>
      <c r="I568" s="2">
        <v>16</v>
      </c>
      <c r="J568" s="3">
        <v>120969</v>
      </c>
      <c r="K568" s="3">
        <v>1935504</v>
      </c>
      <c r="L568" s="3">
        <v>830336</v>
      </c>
      <c r="M568" s="3">
        <v>1105168</v>
      </c>
      <c r="N568" s="4">
        <v>8</v>
      </c>
    </row>
    <row r="569" spans="1:14" x14ac:dyDescent="0.25">
      <c r="A569" s="2">
        <v>3</v>
      </c>
      <c r="B569" s="1" t="s">
        <v>57</v>
      </c>
      <c r="C569" s="1" t="s">
        <v>58</v>
      </c>
      <c r="D569" s="1" t="s">
        <v>59</v>
      </c>
      <c r="E569" s="11" t="s">
        <v>45</v>
      </c>
      <c r="F569" s="12">
        <v>45778</v>
      </c>
      <c r="G569" s="1" t="s">
        <v>22</v>
      </c>
      <c r="H569" s="1" t="s">
        <v>26</v>
      </c>
      <c r="I569" s="2">
        <v>16</v>
      </c>
      <c r="J569" s="3">
        <v>88619</v>
      </c>
      <c r="K569" s="3">
        <v>1417904</v>
      </c>
      <c r="L569" s="3">
        <v>715008</v>
      </c>
      <c r="M569" s="3">
        <v>702896</v>
      </c>
      <c r="N569" s="4">
        <v>11</v>
      </c>
    </row>
    <row r="570" spans="1:14" x14ac:dyDescent="0.25">
      <c r="A570" s="2">
        <v>3</v>
      </c>
      <c r="B570" s="1" t="s">
        <v>57</v>
      </c>
      <c r="C570" s="1" t="s">
        <v>58</v>
      </c>
      <c r="D570" s="1" t="s">
        <v>59</v>
      </c>
      <c r="E570" s="11" t="s">
        <v>45</v>
      </c>
      <c r="F570" s="12">
        <v>45778</v>
      </c>
      <c r="G570" s="1" t="s">
        <v>27</v>
      </c>
      <c r="H570" s="1" t="s">
        <v>28</v>
      </c>
      <c r="I570" s="2">
        <v>8</v>
      </c>
      <c r="J570" s="3">
        <v>59891</v>
      </c>
      <c r="K570" s="3">
        <v>479128</v>
      </c>
      <c r="L570" s="3">
        <v>259910</v>
      </c>
      <c r="M570" s="3">
        <v>219218</v>
      </c>
      <c r="N570" s="4">
        <v>13</v>
      </c>
    </row>
    <row r="571" spans="1:14" x14ac:dyDescent="0.25">
      <c r="A571" s="2">
        <v>3</v>
      </c>
      <c r="B571" s="1" t="s">
        <v>57</v>
      </c>
      <c r="C571" s="1" t="s">
        <v>58</v>
      </c>
      <c r="D571" s="1" t="s">
        <v>60</v>
      </c>
      <c r="E571" s="11" t="s">
        <v>45</v>
      </c>
      <c r="F571" s="12">
        <v>45778</v>
      </c>
      <c r="G571" s="1" t="s">
        <v>27</v>
      </c>
      <c r="H571" s="1" t="s">
        <v>29</v>
      </c>
      <c r="I571" s="2">
        <v>13</v>
      </c>
      <c r="J571" s="3">
        <v>92982</v>
      </c>
      <c r="K571" s="3">
        <v>1208766</v>
      </c>
      <c r="L571" s="3">
        <v>628310</v>
      </c>
      <c r="M571" s="3">
        <v>580456</v>
      </c>
      <c r="N571" s="4">
        <v>7</v>
      </c>
    </row>
    <row r="572" spans="1:14" x14ac:dyDescent="0.25">
      <c r="A572" s="2">
        <v>3</v>
      </c>
      <c r="B572" s="1" t="s">
        <v>57</v>
      </c>
      <c r="C572" s="1" t="s">
        <v>58</v>
      </c>
      <c r="D572" s="1" t="s">
        <v>60</v>
      </c>
      <c r="E572" s="11" t="s">
        <v>45</v>
      </c>
      <c r="F572" s="12">
        <v>45778</v>
      </c>
      <c r="G572" s="1" t="s">
        <v>27</v>
      </c>
      <c r="H572" s="1" t="s">
        <v>30</v>
      </c>
      <c r="I572" s="2">
        <v>5</v>
      </c>
      <c r="J572" s="3">
        <v>140787</v>
      </c>
      <c r="K572" s="3">
        <v>703935</v>
      </c>
      <c r="L572" s="3">
        <v>477338</v>
      </c>
      <c r="M572" s="3">
        <v>226597</v>
      </c>
      <c r="N572" s="4">
        <v>11</v>
      </c>
    </row>
    <row r="573" spans="1:14" x14ac:dyDescent="0.25">
      <c r="A573" s="2">
        <v>3</v>
      </c>
      <c r="B573" s="1" t="s">
        <v>57</v>
      </c>
      <c r="C573" s="1" t="s">
        <v>58</v>
      </c>
      <c r="D573" s="1" t="s">
        <v>60</v>
      </c>
      <c r="E573" s="11" t="s">
        <v>45</v>
      </c>
      <c r="F573" s="12">
        <v>45778</v>
      </c>
      <c r="G573" s="1" t="s">
        <v>27</v>
      </c>
      <c r="H573" s="1" t="s">
        <v>31</v>
      </c>
      <c r="I573" s="2">
        <v>1</v>
      </c>
      <c r="J573" s="3">
        <v>117912</v>
      </c>
      <c r="K573" s="3">
        <v>117912</v>
      </c>
      <c r="L573" s="3">
        <v>70920</v>
      </c>
      <c r="M573" s="3">
        <v>46992</v>
      </c>
      <c r="N573" s="4">
        <v>3</v>
      </c>
    </row>
    <row r="574" spans="1:14" x14ac:dyDescent="0.25">
      <c r="A574" s="2">
        <v>3</v>
      </c>
      <c r="B574" s="1" t="s">
        <v>57</v>
      </c>
      <c r="C574" s="1" t="s">
        <v>58</v>
      </c>
      <c r="D574" s="1" t="s">
        <v>59</v>
      </c>
      <c r="E574" s="11" t="s">
        <v>45</v>
      </c>
      <c r="F574" s="12">
        <v>45778</v>
      </c>
      <c r="G574" s="1" t="s">
        <v>32</v>
      </c>
      <c r="H574" s="1" t="s">
        <v>33</v>
      </c>
      <c r="I574" s="2">
        <v>6</v>
      </c>
      <c r="J574" s="3">
        <v>11549</v>
      </c>
      <c r="K574" s="3">
        <v>69294</v>
      </c>
      <c r="L574" s="3">
        <v>29570</v>
      </c>
      <c r="M574" s="3">
        <v>39724</v>
      </c>
      <c r="N574" s="4">
        <v>6</v>
      </c>
    </row>
    <row r="575" spans="1:14" x14ac:dyDescent="0.25">
      <c r="A575" s="2">
        <v>3</v>
      </c>
      <c r="B575" s="1" t="s">
        <v>57</v>
      </c>
      <c r="C575" s="1" t="s">
        <v>58</v>
      </c>
      <c r="D575" s="1" t="s">
        <v>59</v>
      </c>
      <c r="E575" s="11" t="s">
        <v>45</v>
      </c>
      <c r="F575" s="12">
        <v>45778</v>
      </c>
      <c r="G575" s="1" t="s">
        <v>32</v>
      </c>
      <c r="H575" s="1" t="s">
        <v>34</v>
      </c>
      <c r="I575" s="2">
        <v>1</v>
      </c>
      <c r="J575" s="3">
        <v>6012</v>
      </c>
      <c r="K575" s="3">
        <v>6012</v>
      </c>
      <c r="L575" s="3">
        <v>3894</v>
      </c>
      <c r="M575" s="3">
        <v>2118</v>
      </c>
      <c r="N575" s="4">
        <v>5</v>
      </c>
    </row>
    <row r="576" spans="1:14" x14ac:dyDescent="0.25">
      <c r="A576" s="2">
        <v>3</v>
      </c>
      <c r="B576" s="1" t="s">
        <v>57</v>
      </c>
      <c r="C576" s="1" t="s">
        <v>58</v>
      </c>
      <c r="D576" s="1" t="s">
        <v>59</v>
      </c>
      <c r="E576" s="11" t="s">
        <v>45</v>
      </c>
      <c r="F576" s="12">
        <v>45778</v>
      </c>
      <c r="G576" s="1" t="s">
        <v>32</v>
      </c>
      <c r="H576" s="1" t="s">
        <v>35</v>
      </c>
      <c r="I576" s="2">
        <v>2</v>
      </c>
      <c r="J576" s="3">
        <v>15748</v>
      </c>
      <c r="K576" s="3">
        <v>31496</v>
      </c>
      <c r="L576" s="3">
        <v>12940</v>
      </c>
      <c r="M576" s="3">
        <v>18556</v>
      </c>
      <c r="N576" s="4">
        <v>0</v>
      </c>
    </row>
    <row r="577" spans="1:14" x14ac:dyDescent="0.25">
      <c r="A577" s="2">
        <v>3</v>
      </c>
      <c r="B577" s="1" t="s">
        <v>57</v>
      </c>
      <c r="C577" s="1" t="s">
        <v>58</v>
      </c>
      <c r="D577" s="1" t="s">
        <v>59</v>
      </c>
      <c r="E577" s="11" t="s">
        <v>45</v>
      </c>
      <c r="F577" s="12">
        <v>45778</v>
      </c>
      <c r="G577" s="1" t="s">
        <v>32</v>
      </c>
      <c r="H577" s="1" t="s">
        <v>36</v>
      </c>
      <c r="I577" s="2">
        <v>18</v>
      </c>
      <c r="J577" s="3">
        <v>14793</v>
      </c>
      <c r="K577" s="3">
        <v>266274</v>
      </c>
      <c r="L577" s="3">
        <v>136937</v>
      </c>
      <c r="M577" s="3">
        <v>129337</v>
      </c>
      <c r="N577" s="4">
        <v>1</v>
      </c>
    </row>
    <row r="578" spans="1:14" x14ac:dyDescent="0.25">
      <c r="A578" s="2">
        <v>3</v>
      </c>
      <c r="B578" s="1" t="s">
        <v>57</v>
      </c>
      <c r="C578" s="1" t="s">
        <v>58</v>
      </c>
      <c r="D578" s="1" t="s">
        <v>59</v>
      </c>
      <c r="E578" s="11" t="s">
        <v>45</v>
      </c>
      <c r="F578" s="12">
        <v>45778</v>
      </c>
      <c r="G578" s="1" t="s">
        <v>37</v>
      </c>
      <c r="H578" s="1" t="s">
        <v>38</v>
      </c>
      <c r="I578" s="2">
        <v>9</v>
      </c>
      <c r="J578" s="3">
        <v>104416</v>
      </c>
      <c r="K578" s="3">
        <v>939744</v>
      </c>
      <c r="L578" s="3">
        <v>462031</v>
      </c>
      <c r="M578" s="3">
        <v>477713</v>
      </c>
      <c r="N578" s="4">
        <v>3</v>
      </c>
    </row>
    <row r="579" spans="1:14" x14ac:dyDescent="0.25">
      <c r="A579" s="2">
        <v>3</v>
      </c>
      <c r="B579" s="1" t="s">
        <v>57</v>
      </c>
      <c r="C579" s="1" t="s">
        <v>58</v>
      </c>
      <c r="D579" s="1" t="s">
        <v>59</v>
      </c>
      <c r="E579" s="11" t="s">
        <v>45</v>
      </c>
      <c r="F579" s="12">
        <v>45778</v>
      </c>
      <c r="G579" s="1" t="s">
        <v>37</v>
      </c>
      <c r="H579" s="1" t="s">
        <v>39</v>
      </c>
      <c r="I579" s="2">
        <v>4</v>
      </c>
      <c r="J579" s="3">
        <v>84977</v>
      </c>
      <c r="K579" s="3">
        <v>339908</v>
      </c>
      <c r="L579" s="3">
        <v>188548</v>
      </c>
      <c r="M579" s="3">
        <v>151360</v>
      </c>
      <c r="N579" s="4">
        <v>2</v>
      </c>
    </row>
    <row r="580" spans="1:14" x14ac:dyDescent="0.25">
      <c r="A580" s="2">
        <v>3</v>
      </c>
      <c r="B580" s="1" t="s">
        <v>57</v>
      </c>
      <c r="C580" s="1" t="s">
        <v>58</v>
      </c>
      <c r="D580" s="1" t="s">
        <v>59</v>
      </c>
      <c r="E580" s="11" t="s">
        <v>45</v>
      </c>
      <c r="F580" s="12">
        <v>45778</v>
      </c>
      <c r="G580" s="1" t="s">
        <v>37</v>
      </c>
      <c r="H580" s="1" t="s">
        <v>40</v>
      </c>
      <c r="I580" s="2">
        <v>11</v>
      </c>
      <c r="J580" s="3">
        <v>30382</v>
      </c>
      <c r="K580" s="3">
        <v>334202</v>
      </c>
      <c r="L580" s="3">
        <v>233155</v>
      </c>
      <c r="M580" s="3">
        <v>101047</v>
      </c>
      <c r="N580" s="4">
        <v>4</v>
      </c>
    </row>
    <row r="581" spans="1:14" x14ac:dyDescent="0.25">
      <c r="A581" s="2">
        <v>3</v>
      </c>
      <c r="B581" s="1" t="s">
        <v>57</v>
      </c>
      <c r="C581" s="1" t="s">
        <v>58</v>
      </c>
      <c r="D581" s="1" t="s">
        <v>59</v>
      </c>
      <c r="E581" s="11" t="s">
        <v>45</v>
      </c>
      <c r="F581" s="12">
        <v>45778</v>
      </c>
      <c r="G581" s="1" t="s">
        <v>37</v>
      </c>
      <c r="H581" s="1" t="s">
        <v>41</v>
      </c>
      <c r="I581" s="2">
        <v>10</v>
      </c>
      <c r="J581" s="3">
        <v>122411</v>
      </c>
      <c r="K581" s="3">
        <v>1224110</v>
      </c>
      <c r="L581" s="3">
        <v>831389</v>
      </c>
      <c r="M581" s="3">
        <v>392721</v>
      </c>
      <c r="N581" s="4">
        <v>9</v>
      </c>
    </row>
    <row r="582" spans="1:14" x14ac:dyDescent="0.25">
      <c r="A582" s="2">
        <v>3</v>
      </c>
      <c r="B582" s="1" t="s">
        <v>57</v>
      </c>
      <c r="C582" s="1" t="s">
        <v>58</v>
      </c>
      <c r="D582" s="1" t="s">
        <v>59</v>
      </c>
      <c r="E582" s="11" t="s">
        <v>46</v>
      </c>
      <c r="F582" s="12">
        <v>45809</v>
      </c>
      <c r="G582" s="1" t="s">
        <v>16</v>
      </c>
      <c r="H582" s="1" t="s">
        <v>17</v>
      </c>
      <c r="I582" s="2">
        <v>6</v>
      </c>
      <c r="J582" s="3">
        <v>45169</v>
      </c>
      <c r="K582" s="3">
        <v>271014</v>
      </c>
      <c r="L582" s="3">
        <v>159460</v>
      </c>
      <c r="M582" s="3">
        <v>111554</v>
      </c>
      <c r="N582" s="4">
        <v>13</v>
      </c>
    </row>
    <row r="583" spans="1:14" x14ac:dyDescent="0.25">
      <c r="A583" s="2">
        <v>3</v>
      </c>
      <c r="B583" s="1" t="s">
        <v>57</v>
      </c>
      <c r="C583" s="1" t="s">
        <v>58</v>
      </c>
      <c r="D583" s="1" t="s">
        <v>59</v>
      </c>
      <c r="E583" s="11" t="s">
        <v>46</v>
      </c>
      <c r="F583" s="12">
        <v>45809</v>
      </c>
      <c r="G583" s="1" t="s">
        <v>16</v>
      </c>
      <c r="H583" s="1" t="s">
        <v>19</v>
      </c>
      <c r="I583" s="2">
        <v>10</v>
      </c>
      <c r="J583" s="3">
        <v>83133</v>
      </c>
      <c r="K583" s="3">
        <v>831330</v>
      </c>
      <c r="L583" s="3">
        <v>512453</v>
      </c>
      <c r="M583" s="3">
        <v>318877</v>
      </c>
      <c r="N583" s="4">
        <v>2</v>
      </c>
    </row>
    <row r="584" spans="1:14" x14ac:dyDescent="0.25">
      <c r="A584" s="2">
        <v>3</v>
      </c>
      <c r="B584" s="1" t="s">
        <v>57</v>
      </c>
      <c r="C584" s="1" t="s">
        <v>58</v>
      </c>
      <c r="D584" s="1" t="s">
        <v>60</v>
      </c>
      <c r="E584" s="11" t="s">
        <v>46</v>
      </c>
      <c r="F584" s="12">
        <v>45809</v>
      </c>
      <c r="G584" s="1" t="s">
        <v>16</v>
      </c>
      <c r="H584" s="1" t="s">
        <v>20</v>
      </c>
      <c r="I584" s="2">
        <v>16</v>
      </c>
      <c r="J584" s="3">
        <v>51750</v>
      </c>
      <c r="K584" s="3">
        <v>828000</v>
      </c>
      <c r="L584" s="3">
        <v>406882</v>
      </c>
      <c r="M584" s="3">
        <v>421118</v>
      </c>
      <c r="N584" s="4">
        <v>8</v>
      </c>
    </row>
    <row r="585" spans="1:14" x14ac:dyDescent="0.25">
      <c r="A585" s="2">
        <v>3</v>
      </c>
      <c r="B585" s="1" t="s">
        <v>57</v>
      </c>
      <c r="C585" s="1" t="s">
        <v>58</v>
      </c>
      <c r="D585" s="1" t="s">
        <v>60</v>
      </c>
      <c r="E585" s="11" t="s">
        <v>46</v>
      </c>
      <c r="F585" s="12">
        <v>45809</v>
      </c>
      <c r="G585" s="1" t="s">
        <v>16</v>
      </c>
      <c r="H585" s="1" t="s">
        <v>21</v>
      </c>
      <c r="I585" s="2">
        <v>15</v>
      </c>
      <c r="J585" s="3">
        <v>132020</v>
      </c>
      <c r="K585" s="3">
        <v>1980300</v>
      </c>
      <c r="L585" s="3">
        <v>805720</v>
      </c>
      <c r="M585" s="3">
        <v>1174580</v>
      </c>
      <c r="N585" s="4">
        <v>10</v>
      </c>
    </row>
    <row r="586" spans="1:14" x14ac:dyDescent="0.25">
      <c r="A586" s="2">
        <v>3</v>
      </c>
      <c r="B586" s="1" t="s">
        <v>57</v>
      </c>
      <c r="C586" s="1" t="s">
        <v>58</v>
      </c>
      <c r="D586" s="1" t="s">
        <v>60</v>
      </c>
      <c r="E586" s="11" t="s">
        <v>46</v>
      </c>
      <c r="F586" s="12">
        <v>45809</v>
      </c>
      <c r="G586" s="1" t="s">
        <v>22</v>
      </c>
      <c r="H586" s="1" t="s">
        <v>23</v>
      </c>
      <c r="I586" s="2">
        <v>2</v>
      </c>
      <c r="J586" s="3">
        <v>72130</v>
      </c>
      <c r="K586" s="3">
        <v>144260</v>
      </c>
      <c r="L586" s="3">
        <v>72682</v>
      </c>
      <c r="M586" s="3">
        <v>71578</v>
      </c>
      <c r="N586" s="4">
        <v>3</v>
      </c>
    </row>
    <row r="587" spans="1:14" x14ac:dyDescent="0.25">
      <c r="A587" s="2">
        <v>3</v>
      </c>
      <c r="B587" s="1" t="s">
        <v>57</v>
      </c>
      <c r="C587" s="1" t="s">
        <v>58</v>
      </c>
      <c r="D587" s="1" t="s">
        <v>60</v>
      </c>
      <c r="E587" s="11" t="s">
        <v>46</v>
      </c>
      <c r="F587" s="12">
        <v>45809</v>
      </c>
      <c r="G587" s="1" t="s">
        <v>22</v>
      </c>
      <c r="H587" s="1" t="s">
        <v>24</v>
      </c>
      <c r="I587" s="2">
        <v>18</v>
      </c>
      <c r="J587" s="3">
        <v>68895</v>
      </c>
      <c r="K587" s="3">
        <v>1240110</v>
      </c>
      <c r="L587" s="3">
        <v>843050</v>
      </c>
      <c r="M587" s="3">
        <v>397060</v>
      </c>
      <c r="N587" s="4">
        <v>1</v>
      </c>
    </row>
    <row r="588" spans="1:14" x14ac:dyDescent="0.25">
      <c r="A588" s="2">
        <v>3</v>
      </c>
      <c r="B588" s="1" t="s">
        <v>57</v>
      </c>
      <c r="C588" s="1" t="s">
        <v>58</v>
      </c>
      <c r="D588" s="1" t="s">
        <v>59</v>
      </c>
      <c r="E588" s="11" t="s">
        <v>46</v>
      </c>
      <c r="F588" s="12">
        <v>45809</v>
      </c>
      <c r="G588" s="1" t="s">
        <v>22</v>
      </c>
      <c r="H588" s="1" t="s">
        <v>25</v>
      </c>
      <c r="I588" s="2">
        <v>1</v>
      </c>
      <c r="J588" s="3">
        <v>138947</v>
      </c>
      <c r="K588" s="3">
        <v>138947</v>
      </c>
      <c r="L588" s="3">
        <v>80854</v>
      </c>
      <c r="M588" s="3">
        <v>58093</v>
      </c>
      <c r="N588" s="4">
        <v>0</v>
      </c>
    </row>
    <row r="589" spans="1:14" x14ac:dyDescent="0.25">
      <c r="A589" s="2">
        <v>3</v>
      </c>
      <c r="B589" s="1" t="s">
        <v>57</v>
      </c>
      <c r="C589" s="1" t="s">
        <v>58</v>
      </c>
      <c r="D589" s="1" t="s">
        <v>59</v>
      </c>
      <c r="E589" s="11" t="s">
        <v>46</v>
      </c>
      <c r="F589" s="12">
        <v>45809</v>
      </c>
      <c r="G589" s="1" t="s">
        <v>22</v>
      </c>
      <c r="H589" s="1" t="s">
        <v>26</v>
      </c>
      <c r="I589" s="2">
        <v>14</v>
      </c>
      <c r="J589" s="3">
        <v>51055</v>
      </c>
      <c r="K589" s="3">
        <v>714770</v>
      </c>
      <c r="L589" s="3">
        <v>449906</v>
      </c>
      <c r="M589" s="3">
        <v>264864</v>
      </c>
      <c r="N589" s="4">
        <v>12</v>
      </c>
    </row>
    <row r="590" spans="1:14" x14ac:dyDescent="0.25">
      <c r="A590" s="2">
        <v>3</v>
      </c>
      <c r="B590" s="1" t="s">
        <v>57</v>
      </c>
      <c r="C590" s="1" t="s">
        <v>58</v>
      </c>
      <c r="D590" s="1" t="s">
        <v>59</v>
      </c>
      <c r="E590" s="11" t="s">
        <v>46</v>
      </c>
      <c r="F590" s="12">
        <v>45809</v>
      </c>
      <c r="G590" s="1" t="s">
        <v>27</v>
      </c>
      <c r="H590" s="1" t="s">
        <v>28</v>
      </c>
      <c r="I590" s="2">
        <v>3</v>
      </c>
      <c r="J590" s="3">
        <v>55298</v>
      </c>
      <c r="K590" s="3">
        <v>165894</v>
      </c>
      <c r="L590" s="3">
        <v>86198</v>
      </c>
      <c r="M590" s="3">
        <v>79696</v>
      </c>
      <c r="N590" s="4">
        <v>8</v>
      </c>
    </row>
    <row r="591" spans="1:14" x14ac:dyDescent="0.25">
      <c r="A591" s="2">
        <v>3</v>
      </c>
      <c r="B591" s="1" t="s">
        <v>57</v>
      </c>
      <c r="C591" s="1" t="s">
        <v>58</v>
      </c>
      <c r="D591" s="1" t="s">
        <v>59</v>
      </c>
      <c r="E591" s="11" t="s">
        <v>46</v>
      </c>
      <c r="F591" s="12">
        <v>45809</v>
      </c>
      <c r="G591" s="1" t="s">
        <v>27</v>
      </c>
      <c r="H591" s="1" t="s">
        <v>29</v>
      </c>
      <c r="I591" s="2">
        <v>13</v>
      </c>
      <c r="J591" s="3">
        <v>68244</v>
      </c>
      <c r="K591" s="3">
        <v>887172</v>
      </c>
      <c r="L591" s="3">
        <v>387275</v>
      </c>
      <c r="M591" s="3">
        <v>499897</v>
      </c>
      <c r="N591" s="4">
        <v>4</v>
      </c>
    </row>
    <row r="592" spans="1:14" x14ac:dyDescent="0.25">
      <c r="A592" s="2">
        <v>3</v>
      </c>
      <c r="B592" s="1" t="s">
        <v>57</v>
      </c>
      <c r="C592" s="1" t="s">
        <v>58</v>
      </c>
      <c r="D592" s="1" t="s">
        <v>59</v>
      </c>
      <c r="E592" s="11" t="s">
        <v>46</v>
      </c>
      <c r="F592" s="12">
        <v>45809</v>
      </c>
      <c r="G592" s="1" t="s">
        <v>27</v>
      </c>
      <c r="H592" s="1" t="s">
        <v>30</v>
      </c>
      <c r="I592" s="2">
        <v>2</v>
      </c>
      <c r="J592" s="3">
        <v>37347</v>
      </c>
      <c r="K592" s="3">
        <v>74694</v>
      </c>
      <c r="L592" s="3">
        <v>32906</v>
      </c>
      <c r="M592" s="3">
        <v>41788</v>
      </c>
      <c r="N592" s="4">
        <v>3</v>
      </c>
    </row>
    <row r="593" spans="1:14" x14ac:dyDescent="0.25">
      <c r="A593" s="2">
        <v>3</v>
      </c>
      <c r="B593" s="1" t="s">
        <v>57</v>
      </c>
      <c r="C593" s="1" t="s">
        <v>58</v>
      </c>
      <c r="D593" s="1" t="s">
        <v>59</v>
      </c>
      <c r="E593" s="11" t="s">
        <v>46</v>
      </c>
      <c r="F593" s="12">
        <v>45809</v>
      </c>
      <c r="G593" s="1" t="s">
        <v>27</v>
      </c>
      <c r="H593" s="1" t="s">
        <v>31</v>
      </c>
      <c r="I593" s="2">
        <v>13</v>
      </c>
      <c r="J593" s="3">
        <v>148955</v>
      </c>
      <c r="K593" s="3">
        <v>1936415</v>
      </c>
      <c r="L593" s="3">
        <v>1225783</v>
      </c>
      <c r="M593" s="3">
        <v>710632</v>
      </c>
      <c r="N593" s="4">
        <v>11</v>
      </c>
    </row>
    <row r="594" spans="1:14" x14ac:dyDescent="0.25">
      <c r="A594" s="2">
        <v>3</v>
      </c>
      <c r="B594" s="1" t="s">
        <v>57</v>
      </c>
      <c r="C594" s="1" t="s">
        <v>58</v>
      </c>
      <c r="D594" s="1" t="s">
        <v>59</v>
      </c>
      <c r="E594" s="11" t="s">
        <v>46</v>
      </c>
      <c r="F594" s="12">
        <v>45809</v>
      </c>
      <c r="G594" s="1" t="s">
        <v>32</v>
      </c>
      <c r="H594" s="1" t="s">
        <v>33</v>
      </c>
      <c r="I594" s="2">
        <v>13</v>
      </c>
      <c r="J594" s="3">
        <v>13734</v>
      </c>
      <c r="K594" s="3">
        <v>178542</v>
      </c>
      <c r="L594" s="3">
        <v>98527</v>
      </c>
      <c r="M594" s="3">
        <v>80015</v>
      </c>
      <c r="N594" s="4">
        <v>1</v>
      </c>
    </row>
    <row r="595" spans="1:14" x14ac:dyDescent="0.25">
      <c r="A595" s="2">
        <v>3</v>
      </c>
      <c r="B595" s="1" t="s">
        <v>57</v>
      </c>
      <c r="C595" s="1" t="s">
        <v>58</v>
      </c>
      <c r="D595" s="1" t="s">
        <v>59</v>
      </c>
      <c r="E595" s="11" t="s">
        <v>46</v>
      </c>
      <c r="F595" s="12">
        <v>45809</v>
      </c>
      <c r="G595" s="1" t="s">
        <v>32</v>
      </c>
      <c r="H595" s="1" t="s">
        <v>34</v>
      </c>
      <c r="I595" s="2">
        <v>6</v>
      </c>
      <c r="J595" s="3">
        <v>7719</v>
      </c>
      <c r="K595" s="3">
        <v>46314</v>
      </c>
      <c r="L595" s="3">
        <v>21527</v>
      </c>
      <c r="M595" s="3">
        <v>24787</v>
      </c>
      <c r="N595" s="4">
        <v>13</v>
      </c>
    </row>
    <row r="596" spans="1:14" x14ac:dyDescent="0.25">
      <c r="A596" s="2">
        <v>3</v>
      </c>
      <c r="B596" s="1" t="s">
        <v>57</v>
      </c>
      <c r="C596" s="1" t="s">
        <v>58</v>
      </c>
      <c r="D596" s="1" t="s">
        <v>60</v>
      </c>
      <c r="E596" s="11" t="s">
        <v>46</v>
      </c>
      <c r="F596" s="12">
        <v>45809</v>
      </c>
      <c r="G596" s="1" t="s">
        <v>32</v>
      </c>
      <c r="H596" s="1" t="s">
        <v>35</v>
      </c>
      <c r="I596" s="2">
        <v>2</v>
      </c>
      <c r="J596" s="3">
        <v>10179</v>
      </c>
      <c r="K596" s="3">
        <v>20358</v>
      </c>
      <c r="L596" s="3">
        <v>10371</v>
      </c>
      <c r="M596" s="3">
        <v>9987</v>
      </c>
      <c r="N596" s="4">
        <v>14</v>
      </c>
    </row>
    <row r="597" spans="1:14" x14ac:dyDescent="0.25">
      <c r="A597" s="2">
        <v>3</v>
      </c>
      <c r="B597" s="1" t="s">
        <v>57</v>
      </c>
      <c r="C597" s="1" t="s">
        <v>58</v>
      </c>
      <c r="D597" s="1" t="s">
        <v>60</v>
      </c>
      <c r="E597" s="11" t="s">
        <v>46</v>
      </c>
      <c r="F597" s="12">
        <v>45809</v>
      </c>
      <c r="G597" s="1" t="s">
        <v>32</v>
      </c>
      <c r="H597" s="1" t="s">
        <v>36</v>
      </c>
      <c r="I597" s="2">
        <v>19</v>
      </c>
      <c r="J597" s="3">
        <v>18828</v>
      </c>
      <c r="K597" s="3">
        <v>357732</v>
      </c>
      <c r="L597" s="3">
        <v>226883</v>
      </c>
      <c r="M597" s="3">
        <v>130849</v>
      </c>
      <c r="N597" s="4">
        <v>9</v>
      </c>
    </row>
    <row r="598" spans="1:14" x14ac:dyDescent="0.25">
      <c r="A598" s="2">
        <v>3</v>
      </c>
      <c r="B598" s="1" t="s">
        <v>57</v>
      </c>
      <c r="C598" s="1" t="s">
        <v>58</v>
      </c>
      <c r="D598" s="1" t="s">
        <v>59</v>
      </c>
      <c r="E598" s="11" t="s">
        <v>46</v>
      </c>
      <c r="F598" s="12">
        <v>45809</v>
      </c>
      <c r="G598" s="1" t="s">
        <v>37</v>
      </c>
      <c r="H598" s="1" t="s">
        <v>38</v>
      </c>
      <c r="I598" s="2">
        <v>2</v>
      </c>
      <c r="J598" s="3">
        <v>75677</v>
      </c>
      <c r="K598" s="3">
        <v>151354</v>
      </c>
      <c r="L598" s="3">
        <v>105714</v>
      </c>
      <c r="M598" s="3">
        <v>45640</v>
      </c>
      <c r="N598" s="4">
        <v>12</v>
      </c>
    </row>
    <row r="599" spans="1:14" x14ac:dyDescent="0.25">
      <c r="A599" s="2">
        <v>3</v>
      </c>
      <c r="B599" s="1" t="s">
        <v>57</v>
      </c>
      <c r="C599" s="1" t="s">
        <v>58</v>
      </c>
      <c r="D599" s="1" t="s">
        <v>60</v>
      </c>
      <c r="E599" s="11" t="s">
        <v>46</v>
      </c>
      <c r="F599" s="12">
        <v>45809</v>
      </c>
      <c r="G599" s="1" t="s">
        <v>37</v>
      </c>
      <c r="H599" s="1" t="s">
        <v>39</v>
      </c>
      <c r="I599" s="2">
        <v>15</v>
      </c>
      <c r="J599" s="3">
        <v>45032</v>
      </c>
      <c r="K599" s="3">
        <v>675480</v>
      </c>
      <c r="L599" s="3">
        <v>357397</v>
      </c>
      <c r="M599" s="3">
        <v>318083</v>
      </c>
      <c r="N599" s="4">
        <v>8</v>
      </c>
    </row>
    <row r="600" spans="1:14" x14ac:dyDescent="0.25">
      <c r="A600" s="2">
        <v>3</v>
      </c>
      <c r="B600" s="1" t="s">
        <v>57</v>
      </c>
      <c r="C600" s="1" t="s">
        <v>58</v>
      </c>
      <c r="D600" s="1" t="s">
        <v>60</v>
      </c>
      <c r="E600" s="11" t="s">
        <v>46</v>
      </c>
      <c r="F600" s="12">
        <v>45809</v>
      </c>
      <c r="G600" s="1" t="s">
        <v>37</v>
      </c>
      <c r="H600" s="1" t="s">
        <v>40</v>
      </c>
      <c r="I600" s="2">
        <v>3</v>
      </c>
      <c r="J600" s="3">
        <v>81588</v>
      </c>
      <c r="K600" s="3">
        <v>244764</v>
      </c>
      <c r="L600" s="3">
        <v>106818</v>
      </c>
      <c r="M600" s="3">
        <v>137946</v>
      </c>
      <c r="N600" s="4">
        <v>13</v>
      </c>
    </row>
    <row r="601" spans="1:14" x14ac:dyDescent="0.25">
      <c r="A601" s="2">
        <v>3</v>
      </c>
      <c r="B601" s="1" t="s">
        <v>57</v>
      </c>
      <c r="C601" s="1" t="s">
        <v>58</v>
      </c>
      <c r="D601" s="1" t="s">
        <v>60</v>
      </c>
      <c r="E601" s="11" t="s">
        <v>46</v>
      </c>
      <c r="F601" s="12">
        <v>45809</v>
      </c>
      <c r="G601" s="1" t="s">
        <v>37</v>
      </c>
      <c r="H601" s="1" t="s">
        <v>41</v>
      </c>
      <c r="I601" s="2">
        <v>14</v>
      </c>
      <c r="J601" s="3">
        <v>29074</v>
      </c>
      <c r="K601" s="3">
        <v>407036</v>
      </c>
      <c r="L601" s="3">
        <v>184521</v>
      </c>
      <c r="M601" s="3">
        <v>222515</v>
      </c>
      <c r="N601" s="4">
        <v>11</v>
      </c>
    </row>
    <row r="602" spans="1:14" x14ac:dyDescent="0.25">
      <c r="A602" s="2">
        <v>3</v>
      </c>
      <c r="B602" s="1" t="s">
        <v>57</v>
      </c>
      <c r="C602" s="1" t="s">
        <v>58</v>
      </c>
      <c r="D602" s="1" t="s">
        <v>59</v>
      </c>
      <c r="E602" s="11" t="s">
        <v>47</v>
      </c>
      <c r="F602" s="12">
        <v>45839</v>
      </c>
      <c r="G602" s="1" t="s">
        <v>16</v>
      </c>
      <c r="H602" s="1" t="s">
        <v>17</v>
      </c>
      <c r="I602" s="2">
        <v>1</v>
      </c>
      <c r="J602" s="3">
        <v>117539</v>
      </c>
      <c r="K602" s="3">
        <v>117539</v>
      </c>
      <c r="L602" s="3">
        <v>69342</v>
      </c>
      <c r="M602" s="3">
        <v>48197</v>
      </c>
      <c r="N602" s="4">
        <v>7</v>
      </c>
    </row>
    <row r="603" spans="1:14" x14ac:dyDescent="0.25">
      <c r="A603" s="2">
        <v>3</v>
      </c>
      <c r="B603" s="1" t="s">
        <v>57</v>
      </c>
      <c r="C603" s="1" t="s">
        <v>58</v>
      </c>
      <c r="D603" s="1" t="s">
        <v>60</v>
      </c>
      <c r="E603" s="11" t="s">
        <v>47</v>
      </c>
      <c r="F603" s="12">
        <v>45839</v>
      </c>
      <c r="G603" s="1" t="s">
        <v>16</v>
      </c>
      <c r="H603" s="1" t="s">
        <v>19</v>
      </c>
      <c r="I603" s="2">
        <v>17</v>
      </c>
      <c r="J603" s="3">
        <v>63108</v>
      </c>
      <c r="K603" s="3">
        <v>1072836</v>
      </c>
      <c r="L603" s="3">
        <v>627143</v>
      </c>
      <c r="M603" s="3">
        <v>445693</v>
      </c>
      <c r="N603" s="4">
        <v>3</v>
      </c>
    </row>
    <row r="604" spans="1:14" x14ac:dyDescent="0.25">
      <c r="A604" s="2">
        <v>3</v>
      </c>
      <c r="B604" s="1" t="s">
        <v>57</v>
      </c>
      <c r="C604" s="1" t="s">
        <v>58</v>
      </c>
      <c r="D604" s="1" t="s">
        <v>59</v>
      </c>
      <c r="E604" s="11" t="s">
        <v>47</v>
      </c>
      <c r="F604" s="12">
        <v>45839</v>
      </c>
      <c r="G604" s="1" t="s">
        <v>16</v>
      </c>
      <c r="H604" s="1" t="s">
        <v>20</v>
      </c>
      <c r="I604" s="2">
        <v>4</v>
      </c>
      <c r="J604" s="3">
        <v>32411</v>
      </c>
      <c r="K604" s="3">
        <v>129644</v>
      </c>
      <c r="L604" s="3">
        <v>84839</v>
      </c>
      <c r="M604" s="3">
        <v>44805</v>
      </c>
      <c r="N604" s="4">
        <v>1</v>
      </c>
    </row>
    <row r="605" spans="1:14" x14ac:dyDescent="0.25">
      <c r="A605" s="2">
        <v>3</v>
      </c>
      <c r="B605" s="1" t="s">
        <v>57</v>
      </c>
      <c r="C605" s="1" t="s">
        <v>58</v>
      </c>
      <c r="D605" s="1" t="s">
        <v>60</v>
      </c>
      <c r="E605" s="11" t="s">
        <v>47</v>
      </c>
      <c r="F605" s="12">
        <v>45839</v>
      </c>
      <c r="G605" s="1" t="s">
        <v>16</v>
      </c>
      <c r="H605" s="1" t="s">
        <v>21</v>
      </c>
      <c r="I605" s="2">
        <v>5</v>
      </c>
      <c r="J605" s="3">
        <v>52371</v>
      </c>
      <c r="K605" s="3">
        <v>261855</v>
      </c>
      <c r="L605" s="3">
        <v>136541</v>
      </c>
      <c r="M605" s="3">
        <v>125314</v>
      </c>
      <c r="N605" s="4">
        <v>12</v>
      </c>
    </row>
    <row r="606" spans="1:14" x14ac:dyDescent="0.25">
      <c r="A606" s="2">
        <v>3</v>
      </c>
      <c r="B606" s="1" t="s">
        <v>57</v>
      </c>
      <c r="C606" s="1" t="s">
        <v>58</v>
      </c>
      <c r="D606" s="1" t="s">
        <v>59</v>
      </c>
      <c r="E606" s="11" t="s">
        <v>47</v>
      </c>
      <c r="F606" s="12">
        <v>45839</v>
      </c>
      <c r="G606" s="1" t="s">
        <v>22</v>
      </c>
      <c r="H606" s="1" t="s">
        <v>23</v>
      </c>
      <c r="I606" s="2">
        <v>3</v>
      </c>
      <c r="J606" s="3">
        <v>116774</v>
      </c>
      <c r="K606" s="3">
        <v>350322</v>
      </c>
      <c r="L606" s="3">
        <v>195357</v>
      </c>
      <c r="M606" s="3">
        <v>154965</v>
      </c>
      <c r="N606" s="4">
        <v>5</v>
      </c>
    </row>
    <row r="607" spans="1:14" x14ac:dyDescent="0.25">
      <c r="A607" s="2">
        <v>3</v>
      </c>
      <c r="B607" s="1" t="s">
        <v>57</v>
      </c>
      <c r="C607" s="1" t="s">
        <v>58</v>
      </c>
      <c r="D607" s="1" t="s">
        <v>60</v>
      </c>
      <c r="E607" s="11" t="s">
        <v>47</v>
      </c>
      <c r="F607" s="12">
        <v>45839</v>
      </c>
      <c r="G607" s="1" t="s">
        <v>22</v>
      </c>
      <c r="H607" s="1" t="s">
        <v>24</v>
      </c>
      <c r="I607" s="2">
        <v>14</v>
      </c>
      <c r="J607" s="3">
        <v>51174</v>
      </c>
      <c r="K607" s="3">
        <v>716436</v>
      </c>
      <c r="L607" s="3">
        <v>444250</v>
      </c>
      <c r="M607" s="3">
        <v>272186</v>
      </c>
      <c r="N607" s="4">
        <v>5</v>
      </c>
    </row>
    <row r="608" spans="1:14" x14ac:dyDescent="0.25">
      <c r="A608" s="2">
        <v>3</v>
      </c>
      <c r="B608" s="1" t="s">
        <v>57</v>
      </c>
      <c r="C608" s="1" t="s">
        <v>58</v>
      </c>
      <c r="D608" s="1" t="s">
        <v>60</v>
      </c>
      <c r="E608" s="11" t="s">
        <v>47</v>
      </c>
      <c r="F608" s="12">
        <v>45839</v>
      </c>
      <c r="G608" s="1" t="s">
        <v>22</v>
      </c>
      <c r="H608" s="1" t="s">
        <v>25</v>
      </c>
      <c r="I608" s="2">
        <v>5</v>
      </c>
      <c r="J608" s="3">
        <v>81949</v>
      </c>
      <c r="K608" s="3">
        <v>409745</v>
      </c>
      <c r="L608" s="3">
        <v>194454</v>
      </c>
      <c r="M608" s="3">
        <v>215291</v>
      </c>
      <c r="N608" s="4">
        <v>13</v>
      </c>
    </row>
    <row r="609" spans="1:14" x14ac:dyDescent="0.25">
      <c r="A609" s="2">
        <v>3</v>
      </c>
      <c r="B609" s="1" t="s">
        <v>57</v>
      </c>
      <c r="C609" s="1" t="s">
        <v>58</v>
      </c>
      <c r="D609" s="1" t="s">
        <v>60</v>
      </c>
      <c r="E609" s="11" t="s">
        <v>47</v>
      </c>
      <c r="F609" s="12">
        <v>45839</v>
      </c>
      <c r="G609" s="1" t="s">
        <v>22</v>
      </c>
      <c r="H609" s="1" t="s">
        <v>26</v>
      </c>
      <c r="I609" s="2">
        <v>6</v>
      </c>
      <c r="J609" s="3">
        <v>93294</v>
      </c>
      <c r="K609" s="3">
        <v>559764</v>
      </c>
      <c r="L609" s="3">
        <v>321665</v>
      </c>
      <c r="M609" s="3">
        <v>238099</v>
      </c>
      <c r="N609" s="4">
        <v>6</v>
      </c>
    </row>
    <row r="610" spans="1:14" x14ac:dyDescent="0.25">
      <c r="A610" s="2">
        <v>3</v>
      </c>
      <c r="B610" s="1" t="s">
        <v>57</v>
      </c>
      <c r="C610" s="1" t="s">
        <v>58</v>
      </c>
      <c r="D610" s="1" t="s">
        <v>60</v>
      </c>
      <c r="E610" s="11" t="s">
        <v>47</v>
      </c>
      <c r="F610" s="12">
        <v>45839</v>
      </c>
      <c r="G610" s="1" t="s">
        <v>27</v>
      </c>
      <c r="H610" s="1" t="s">
        <v>28</v>
      </c>
      <c r="I610" s="2">
        <v>7</v>
      </c>
      <c r="J610" s="3">
        <v>111012</v>
      </c>
      <c r="K610" s="3">
        <v>777084</v>
      </c>
      <c r="L610" s="3">
        <v>361002</v>
      </c>
      <c r="M610" s="3">
        <v>416082</v>
      </c>
      <c r="N610" s="4">
        <v>4</v>
      </c>
    </row>
    <row r="611" spans="1:14" x14ac:dyDescent="0.25">
      <c r="A611" s="2">
        <v>3</v>
      </c>
      <c r="B611" s="1" t="s">
        <v>57</v>
      </c>
      <c r="C611" s="1" t="s">
        <v>58</v>
      </c>
      <c r="D611" s="1" t="s">
        <v>59</v>
      </c>
      <c r="E611" s="11" t="s">
        <v>47</v>
      </c>
      <c r="F611" s="12">
        <v>45839</v>
      </c>
      <c r="G611" s="1" t="s">
        <v>27</v>
      </c>
      <c r="H611" s="1" t="s">
        <v>29</v>
      </c>
      <c r="I611" s="2">
        <v>18</v>
      </c>
      <c r="J611" s="3">
        <v>133132</v>
      </c>
      <c r="K611" s="3">
        <v>2396376</v>
      </c>
      <c r="L611" s="3">
        <v>1660118</v>
      </c>
      <c r="M611" s="3">
        <v>736258</v>
      </c>
      <c r="N611" s="4">
        <v>1</v>
      </c>
    </row>
    <row r="612" spans="1:14" x14ac:dyDescent="0.25">
      <c r="A612" s="2">
        <v>3</v>
      </c>
      <c r="B612" s="1" t="s">
        <v>57</v>
      </c>
      <c r="C612" s="1" t="s">
        <v>58</v>
      </c>
      <c r="D612" s="1" t="s">
        <v>59</v>
      </c>
      <c r="E612" s="11" t="s">
        <v>47</v>
      </c>
      <c r="F612" s="12">
        <v>45839</v>
      </c>
      <c r="G612" s="1" t="s">
        <v>27</v>
      </c>
      <c r="H612" s="1" t="s">
        <v>30</v>
      </c>
      <c r="I612" s="2">
        <v>5</v>
      </c>
      <c r="J612" s="3">
        <v>73420</v>
      </c>
      <c r="K612" s="3">
        <v>367100</v>
      </c>
      <c r="L612" s="3">
        <v>151535</v>
      </c>
      <c r="M612" s="3">
        <v>215565</v>
      </c>
      <c r="N612" s="4">
        <v>0</v>
      </c>
    </row>
    <row r="613" spans="1:14" x14ac:dyDescent="0.25">
      <c r="A613" s="2">
        <v>3</v>
      </c>
      <c r="B613" s="1" t="s">
        <v>57</v>
      </c>
      <c r="C613" s="1" t="s">
        <v>58</v>
      </c>
      <c r="D613" s="1" t="s">
        <v>60</v>
      </c>
      <c r="E613" s="11" t="s">
        <v>47</v>
      </c>
      <c r="F613" s="12">
        <v>45839</v>
      </c>
      <c r="G613" s="1" t="s">
        <v>27</v>
      </c>
      <c r="H613" s="1" t="s">
        <v>31</v>
      </c>
      <c r="I613" s="2">
        <v>3</v>
      </c>
      <c r="J613" s="3">
        <v>73744</v>
      </c>
      <c r="K613" s="3">
        <v>221232</v>
      </c>
      <c r="L613" s="3">
        <v>124860</v>
      </c>
      <c r="M613" s="3">
        <v>96372</v>
      </c>
      <c r="N613" s="4">
        <v>14</v>
      </c>
    </row>
    <row r="614" spans="1:14" x14ac:dyDescent="0.25">
      <c r="A614" s="2">
        <v>3</v>
      </c>
      <c r="B614" s="1" t="s">
        <v>57</v>
      </c>
      <c r="C614" s="1" t="s">
        <v>58</v>
      </c>
      <c r="D614" s="1" t="s">
        <v>59</v>
      </c>
      <c r="E614" s="11" t="s">
        <v>47</v>
      </c>
      <c r="F614" s="12">
        <v>45839</v>
      </c>
      <c r="G614" s="1" t="s">
        <v>32</v>
      </c>
      <c r="H614" s="1" t="s">
        <v>33</v>
      </c>
      <c r="I614" s="2">
        <v>4</v>
      </c>
      <c r="J614" s="3">
        <v>13737</v>
      </c>
      <c r="K614" s="3">
        <v>54948</v>
      </c>
      <c r="L614" s="3">
        <v>27331</v>
      </c>
      <c r="M614" s="3">
        <v>27617</v>
      </c>
      <c r="N614" s="4">
        <v>11</v>
      </c>
    </row>
    <row r="615" spans="1:14" x14ac:dyDescent="0.25">
      <c r="A615" s="2">
        <v>3</v>
      </c>
      <c r="B615" s="1" t="s">
        <v>57</v>
      </c>
      <c r="C615" s="1" t="s">
        <v>58</v>
      </c>
      <c r="D615" s="1" t="s">
        <v>59</v>
      </c>
      <c r="E615" s="11" t="s">
        <v>47</v>
      </c>
      <c r="F615" s="12">
        <v>45839</v>
      </c>
      <c r="G615" s="1" t="s">
        <v>32</v>
      </c>
      <c r="H615" s="1" t="s">
        <v>34</v>
      </c>
      <c r="I615" s="2">
        <v>18</v>
      </c>
      <c r="J615" s="3">
        <v>9839</v>
      </c>
      <c r="K615" s="3">
        <v>177102</v>
      </c>
      <c r="L615" s="3">
        <v>113913</v>
      </c>
      <c r="M615" s="3">
        <v>63189</v>
      </c>
      <c r="N615" s="4">
        <v>12</v>
      </c>
    </row>
    <row r="616" spans="1:14" x14ac:dyDescent="0.25">
      <c r="A616" s="2">
        <v>3</v>
      </c>
      <c r="B616" s="1" t="s">
        <v>57</v>
      </c>
      <c r="C616" s="1" t="s">
        <v>58</v>
      </c>
      <c r="D616" s="1" t="s">
        <v>60</v>
      </c>
      <c r="E616" s="11" t="s">
        <v>47</v>
      </c>
      <c r="F616" s="12">
        <v>45839</v>
      </c>
      <c r="G616" s="1" t="s">
        <v>32</v>
      </c>
      <c r="H616" s="1" t="s">
        <v>35</v>
      </c>
      <c r="I616" s="2">
        <v>6</v>
      </c>
      <c r="J616" s="3">
        <v>15793</v>
      </c>
      <c r="K616" s="3">
        <v>94758</v>
      </c>
      <c r="L616" s="3">
        <v>60219</v>
      </c>
      <c r="M616" s="3">
        <v>34539</v>
      </c>
      <c r="N616" s="4">
        <v>12</v>
      </c>
    </row>
    <row r="617" spans="1:14" x14ac:dyDescent="0.25">
      <c r="A617" s="2">
        <v>3</v>
      </c>
      <c r="B617" s="1" t="s">
        <v>57</v>
      </c>
      <c r="C617" s="1" t="s">
        <v>58</v>
      </c>
      <c r="D617" s="1" t="s">
        <v>60</v>
      </c>
      <c r="E617" s="11" t="s">
        <v>47</v>
      </c>
      <c r="F617" s="12">
        <v>45839</v>
      </c>
      <c r="G617" s="1" t="s">
        <v>32</v>
      </c>
      <c r="H617" s="1" t="s">
        <v>36</v>
      </c>
      <c r="I617" s="2">
        <v>17</v>
      </c>
      <c r="J617" s="3">
        <v>9200</v>
      </c>
      <c r="K617" s="3">
        <v>156400</v>
      </c>
      <c r="L617" s="3">
        <v>67352</v>
      </c>
      <c r="M617" s="3">
        <v>89048</v>
      </c>
      <c r="N617" s="4">
        <v>7</v>
      </c>
    </row>
    <row r="618" spans="1:14" x14ac:dyDescent="0.25">
      <c r="A618" s="2">
        <v>3</v>
      </c>
      <c r="B618" s="1" t="s">
        <v>57</v>
      </c>
      <c r="C618" s="1" t="s">
        <v>58</v>
      </c>
      <c r="D618" s="1" t="s">
        <v>60</v>
      </c>
      <c r="E618" s="11" t="s">
        <v>47</v>
      </c>
      <c r="F618" s="12">
        <v>45839</v>
      </c>
      <c r="G618" s="1" t="s">
        <v>37</v>
      </c>
      <c r="H618" s="1" t="s">
        <v>38</v>
      </c>
      <c r="I618" s="2">
        <v>9</v>
      </c>
      <c r="J618" s="3">
        <v>110536</v>
      </c>
      <c r="K618" s="3">
        <v>994824</v>
      </c>
      <c r="L618" s="3">
        <v>603301</v>
      </c>
      <c r="M618" s="3">
        <v>391523</v>
      </c>
      <c r="N618" s="4">
        <v>11</v>
      </c>
    </row>
    <row r="619" spans="1:14" x14ac:dyDescent="0.25">
      <c r="A619" s="2">
        <v>3</v>
      </c>
      <c r="B619" s="1" t="s">
        <v>57</v>
      </c>
      <c r="C619" s="1" t="s">
        <v>58</v>
      </c>
      <c r="D619" s="1" t="s">
        <v>59</v>
      </c>
      <c r="E619" s="11" t="s">
        <v>47</v>
      </c>
      <c r="F619" s="12">
        <v>45839</v>
      </c>
      <c r="G619" s="1" t="s">
        <v>37</v>
      </c>
      <c r="H619" s="1" t="s">
        <v>39</v>
      </c>
      <c r="I619" s="2">
        <v>16</v>
      </c>
      <c r="J619" s="3">
        <v>26172</v>
      </c>
      <c r="K619" s="3">
        <v>418752</v>
      </c>
      <c r="L619" s="3">
        <v>202596</v>
      </c>
      <c r="M619" s="3">
        <v>216156</v>
      </c>
      <c r="N619" s="4">
        <v>1</v>
      </c>
    </row>
    <row r="620" spans="1:14" x14ac:dyDescent="0.25">
      <c r="A620" s="2">
        <v>3</v>
      </c>
      <c r="B620" s="1" t="s">
        <v>57</v>
      </c>
      <c r="C620" s="1" t="s">
        <v>58</v>
      </c>
      <c r="D620" s="1" t="s">
        <v>60</v>
      </c>
      <c r="E620" s="11" t="s">
        <v>47</v>
      </c>
      <c r="F620" s="12">
        <v>45839</v>
      </c>
      <c r="G620" s="1" t="s">
        <v>37</v>
      </c>
      <c r="H620" s="1" t="s">
        <v>40</v>
      </c>
      <c r="I620" s="2">
        <v>8</v>
      </c>
      <c r="J620" s="3">
        <v>110900</v>
      </c>
      <c r="K620" s="3">
        <v>887200</v>
      </c>
      <c r="L620" s="3">
        <v>574497</v>
      </c>
      <c r="M620" s="3">
        <v>312703</v>
      </c>
      <c r="N620" s="4">
        <v>6</v>
      </c>
    </row>
    <row r="621" spans="1:14" x14ac:dyDescent="0.25">
      <c r="A621" s="2">
        <v>3</v>
      </c>
      <c r="B621" s="1" t="s">
        <v>57</v>
      </c>
      <c r="C621" s="1" t="s">
        <v>58</v>
      </c>
      <c r="D621" s="1" t="s">
        <v>59</v>
      </c>
      <c r="E621" s="11" t="s">
        <v>47</v>
      </c>
      <c r="F621" s="12">
        <v>45839</v>
      </c>
      <c r="G621" s="1" t="s">
        <v>37</v>
      </c>
      <c r="H621" s="1" t="s">
        <v>41</v>
      </c>
      <c r="I621" s="2">
        <v>2</v>
      </c>
      <c r="J621" s="3">
        <v>135463</v>
      </c>
      <c r="K621" s="3">
        <v>270926</v>
      </c>
      <c r="L621" s="3">
        <v>181123</v>
      </c>
      <c r="M621" s="3">
        <v>89803</v>
      </c>
      <c r="N621" s="4">
        <v>7</v>
      </c>
    </row>
    <row r="622" spans="1:14" x14ac:dyDescent="0.25">
      <c r="A622" s="2">
        <v>3</v>
      </c>
      <c r="B622" s="1" t="s">
        <v>57</v>
      </c>
      <c r="C622" s="1" t="s">
        <v>58</v>
      </c>
      <c r="D622" s="1" t="s">
        <v>59</v>
      </c>
      <c r="E622" s="11" t="s">
        <v>48</v>
      </c>
      <c r="F622" s="12">
        <v>45870</v>
      </c>
      <c r="G622" s="1" t="s">
        <v>16</v>
      </c>
      <c r="H622" s="1" t="s">
        <v>17</v>
      </c>
      <c r="I622" s="2">
        <v>17</v>
      </c>
      <c r="J622" s="3">
        <v>69230</v>
      </c>
      <c r="K622" s="3">
        <v>1176910</v>
      </c>
      <c r="L622" s="3">
        <v>784783</v>
      </c>
      <c r="M622" s="3">
        <v>392127</v>
      </c>
      <c r="N622" s="4">
        <v>6</v>
      </c>
    </row>
    <row r="623" spans="1:14" x14ac:dyDescent="0.25">
      <c r="A623" s="2">
        <v>3</v>
      </c>
      <c r="B623" s="1" t="s">
        <v>57</v>
      </c>
      <c r="C623" s="1" t="s">
        <v>58</v>
      </c>
      <c r="D623" s="1" t="s">
        <v>60</v>
      </c>
      <c r="E623" s="11" t="s">
        <v>48</v>
      </c>
      <c r="F623" s="12">
        <v>45870</v>
      </c>
      <c r="G623" s="1" t="s">
        <v>16</v>
      </c>
      <c r="H623" s="1" t="s">
        <v>19</v>
      </c>
      <c r="I623" s="2">
        <v>13</v>
      </c>
      <c r="J623" s="3">
        <v>116722</v>
      </c>
      <c r="K623" s="3">
        <v>1517386</v>
      </c>
      <c r="L623" s="3">
        <v>655067</v>
      </c>
      <c r="M623" s="3">
        <v>862319</v>
      </c>
      <c r="N623" s="4">
        <v>11</v>
      </c>
    </row>
    <row r="624" spans="1:14" x14ac:dyDescent="0.25">
      <c r="A624" s="2">
        <v>3</v>
      </c>
      <c r="B624" s="1" t="s">
        <v>57</v>
      </c>
      <c r="C624" s="1" t="s">
        <v>58</v>
      </c>
      <c r="D624" s="1" t="s">
        <v>60</v>
      </c>
      <c r="E624" s="11" t="s">
        <v>48</v>
      </c>
      <c r="F624" s="12">
        <v>45870</v>
      </c>
      <c r="G624" s="1" t="s">
        <v>16</v>
      </c>
      <c r="H624" s="1" t="s">
        <v>20</v>
      </c>
      <c r="I624" s="2">
        <v>1</v>
      </c>
      <c r="J624" s="3">
        <v>42614</v>
      </c>
      <c r="K624" s="3">
        <v>42614</v>
      </c>
      <c r="L624" s="3">
        <v>25741</v>
      </c>
      <c r="M624" s="3">
        <v>16873</v>
      </c>
      <c r="N624" s="4">
        <v>12</v>
      </c>
    </row>
    <row r="625" spans="1:14" x14ac:dyDescent="0.25">
      <c r="A625" s="2">
        <v>3</v>
      </c>
      <c r="B625" s="1" t="s">
        <v>57</v>
      </c>
      <c r="C625" s="1" t="s">
        <v>58</v>
      </c>
      <c r="D625" s="1" t="s">
        <v>59</v>
      </c>
      <c r="E625" s="11" t="s">
        <v>48</v>
      </c>
      <c r="F625" s="12">
        <v>45870</v>
      </c>
      <c r="G625" s="1" t="s">
        <v>16</v>
      </c>
      <c r="H625" s="1" t="s">
        <v>21</v>
      </c>
      <c r="I625" s="2">
        <v>8</v>
      </c>
      <c r="J625" s="3">
        <v>80920</v>
      </c>
      <c r="K625" s="3">
        <v>647360</v>
      </c>
      <c r="L625" s="3">
        <v>403863</v>
      </c>
      <c r="M625" s="3">
        <v>243497</v>
      </c>
      <c r="N625" s="4">
        <v>0</v>
      </c>
    </row>
    <row r="626" spans="1:14" x14ac:dyDescent="0.25">
      <c r="A626" s="2">
        <v>3</v>
      </c>
      <c r="B626" s="1" t="s">
        <v>57</v>
      </c>
      <c r="C626" s="1" t="s">
        <v>58</v>
      </c>
      <c r="D626" s="1" t="s">
        <v>60</v>
      </c>
      <c r="E626" s="11" t="s">
        <v>48</v>
      </c>
      <c r="F626" s="12">
        <v>45870</v>
      </c>
      <c r="G626" s="1" t="s">
        <v>22</v>
      </c>
      <c r="H626" s="1" t="s">
        <v>23</v>
      </c>
      <c r="I626" s="2">
        <v>13</v>
      </c>
      <c r="J626" s="3">
        <v>48082</v>
      </c>
      <c r="K626" s="3">
        <v>625066</v>
      </c>
      <c r="L626" s="3">
        <v>263388</v>
      </c>
      <c r="M626" s="3">
        <v>361678</v>
      </c>
      <c r="N626" s="4">
        <v>7</v>
      </c>
    </row>
    <row r="627" spans="1:14" x14ac:dyDescent="0.25">
      <c r="A627" s="2">
        <v>3</v>
      </c>
      <c r="B627" s="1" t="s">
        <v>57</v>
      </c>
      <c r="C627" s="1" t="s">
        <v>58</v>
      </c>
      <c r="D627" s="1" t="s">
        <v>60</v>
      </c>
      <c r="E627" s="11" t="s">
        <v>48</v>
      </c>
      <c r="F627" s="12">
        <v>45870</v>
      </c>
      <c r="G627" s="1" t="s">
        <v>22</v>
      </c>
      <c r="H627" s="1" t="s">
        <v>24</v>
      </c>
      <c r="I627" s="2">
        <v>17</v>
      </c>
      <c r="J627" s="3">
        <v>103588</v>
      </c>
      <c r="K627" s="3">
        <v>1760996</v>
      </c>
      <c r="L627" s="3">
        <v>973080</v>
      </c>
      <c r="M627" s="3">
        <v>787916</v>
      </c>
      <c r="N627" s="4">
        <v>7</v>
      </c>
    </row>
    <row r="628" spans="1:14" x14ac:dyDescent="0.25">
      <c r="A628" s="2">
        <v>3</v>
      </c>
      <c r="B628" s="1" t="s">
        <v>57</v>
      </c>
      <c r="C628" s="1" t="s">
        <v>58</v>
      </c>
      <c r="D628" s="1" t="s">
        <v>59</v>
      </c>
      <c r="E628" s="11" t="s">
        <v>48</v>
      </c>
      <c r="F628" s="12">
        <v>45870</v>
      </c>
      <c r="G628" s="1" t="s">
        <v>22</v>
      </c>
      <c r="H628" s="1" t="s">
        <v>25</v>
      </c>
      <c r="I628" s="2">
        <v>14</v>
      </c>
      <c r="J628" s="3">
        <v>68355</v>
      </c>
      <c r="K628" s="3">
        <v>956970</v>
      </c>
      <c r="L628" s="3">
        <v>483184</v>
      </c>
      <c r="M628" s="3">
        <v>473786</v>
      </c>
      <c r="N628" s="4">
        <v>14</v>
      </c>
    </row>
    <row r="629" spans="1:14" x14ac:dyDescent="0.25">
      <c r="A629" s="2">
        <v>3</v>
      </c>
      <c r="B629" s="1" t="s">
        <v>57</v>
      </c>
      <c r="C629" s="1" t="s">
        <v>58</v>
      </c>
      <c r="D629" s="1" t="s">
        <v>59</v>
      </c>
      <c r="E629" s="11" t="s">
        <v>48</v>
      </c>
      <c r="F629" s="12">
        <v>45870</v>
      </c>
      <c r="G629" s="1" t="s">
        <v>22</v>
      </c>
      <c r="H629" s="1" t="s">
        <v>26</v>
      </c>
      <c r="I629" s="2">
        <v>19</v>
      </c>
      <c r="J629" s="3">
        <v>123814</v>
      </c>
      <c r="K629" s="3">
        <v>2352466</v>
      </c>
      <c r="L629" s="3">
        <v>1494175</v>
      </c>
      <c r="M629" s="3">
        <v>858291</v>
      </c>
      <c r="N629" s="4">
        <v>2</v>
      </c>
    </row>
    <row r="630" spans="1:14" x14ac:dyDescent="0.25">
      <c r="A630" s="2">
        <v>3</v>
      </c>
      <c r="B630" s="1" t="s">
        <v>57</v>
      </c>
      <c r="C630" s="1" t="s">
        <v>58</v>
      </c>
      <c r="D630" s="1" t="s">
        <v>60</v>
      </c>
      <c r="E630" s="11" t="s">
        <v>48</v>
      </c>
      <c r="F630" s="12">
        <v>45870</v>
      </c>
      <c r="G630" s="1" t="s">
        <v>27</v>
      </c>
      <c r="H630" s="1" t="s">
        <v>28</v>
      </c>
      <c r="I630" s="2">
        <v>11</v>
      </c>
      <c r="J630" s="3">
        <v>112601</v>
      </c>
      <c r="K630" s="3">
        <v>1238611</v>
      </c>
      <c r="L630" s="3">
        <v>532006</v>
      </c>
      <c r="M630" s="3">
        <v>706605</v>
      </c>
      <c r="N630" s="4">
        <v>13</v>
      </c>
    </row>
    <row r="631" spans="1:14" x14ac:dyDescent="0.25">
      <c r="A631" s="2">
        <v>3</v>
      </c>
      <c r="B631" s="1" t="s">
        <v>57</v>
      </c>
      <c r="C631" s="1" t="s">
        <v>58</v>
      </c>
      <c r="D631" s="1" t="s">
        <v>59</v>
      </c>
      <c r="E631" s="11" t="s">
        <v>48</v>
      </c>
      <c r="F631" s="12">
        <v>45870</v>
      </c>
      <c r="G631" s="1" t="s">
        <v>27</v>
      </c>
      <c r="H631" s="1" t="s">
        <v>29</v>
      </c>
      <c r="I631" s="2">
        <v>8</v>
      </c>
      <c r="J631" s="3">
        <v>25439</v>
      </c>
      <c r="K631" s="3">
        <v>203512</v>
      </c>
      <c r="L631" s="3">
        <v>107309</v>
      </c>
      <c r="M631" s="3">
        <v>96203</v>
      </c>
      <c r="N631" s="4">
        <v>14</v>
      </c>
    </row>
    <row r="632" spans="1:14" x14ac:dyDescent="0.25">
      <c r="A632" s="2">
        <v>3</v>
      </c>
      <c r="B632" s="1" t="s">
        <v>57</v>
      </c>
      <c r="C632" s="1" t="s">
        <v>58</v>
      </c>
      <c r="D632" s="1" t="s">
        <v>60</v>
      </c>
      <c r="E632" s="11" t="s">
        <v>48</v>
      </c>
      <c r="F632" s="12">
        <v>45870</v>
      </c>
      <c r="G632" s="1" t="s">
        <v>27</v>
      </c>
      <c r="H632" s="1" t="s">
        <v>30</v>
      </c>
      <c r="I632" s="2">
        <v>16</v>
      </c>
      <c r="J632" s="3">
        <v>129787</v>
      </c>
      <c r="K632" s="3">
        <v>2076592</v>
      </c>
      <c r="L632" s="3">
        <v>1390631</v>
      </c>
      <c r="M632" s="3">
        <v>685961</v>
      </c>
      <c r="N632" s="4">
        <v>7</v>
      </c>
    </row>
    <row r="633" spans="1:14" x14ac:dyDescent="0.25">
      <c r="A633" s="2">
        <v>3</v>
      </c>
      <c r="B633" s="1" t="s">
        <v>57</v>
      </c>
      <c r="C633" s="1" t="s">
        <v>58</v>
      </c>
      <c r="D633" s="1" t="s">
        <v>59</v>
      </c>
      <c r="E633" s="11" t="s">
        <v>48</v>
      </c>
      <c r="F633" s="12">
        <v>45870</v>
      </c>
      <c r="G633" s="1" t="s">
        <v>27</v>
      </c>
      <c r="H633" s="1" t="s">
        <v>31</v>
      </c>
      <c r="I633" s="2">
        <v>8</v>
      </c>
      <c r="J633" s="3">
        <v>147896</v>
      </c>
      <c r="K633" s="3">
        <v>1183168</v>
      </c>
      <c r="L633" s="3">
        <v>819695</v>
      </c>
      <c r="M633" s="3">
        <v>363473</v>
      </c>
      <c r="N633" s="4">
        <v>14</v>
      </c>
    </row>
    <row r="634" spans="1:14" x14ac:dyDescent="0.25">
      <c r="A634" s="2">
        <v>3</v>
      </c>
      <c r="B634" s="1" t="s">
        <v>57</v>
      </c>
      <c r="C634" s="1" t="s">
        <v>58</v>
      </c>
      <c r="D634" s="1" t="s">
        <v>60</v>
      </c>
      <c r="E634" s="11" t="s">
        <v>48</v>
      </c>
      <c r="F634" s="12">
        <v>45870</v>
      </c>
      <c r="G634" s="1" t="s">
        <v>32</v>
      </c>
      <c r="H634" s="1" t="s">
        <v>33</v>
      </c>
      <c r="I634" s="2">
        <v>18</v>
      </c>
      <c r="J634" s="3">
        <v>14154</v>
      </c>
      <c r="K634" s="3">
        <v>254772</v>
      </c>
      <c r="L634" s="3">
        <v>111186</v>
      </c>
      <c r="M634" s="3">
        <v>143586</v>
      </c>
      <c r="N634" s="4">
        <v>13</v>
      </c>
    </row>
    <row r="635" spans="1:14" x14ac:dyDescent="0.25">
      <c r="A635" s="2">
        <v>3</v>
      </c>
      <c r="B635" s="1" t="s">
        <v>57</v>
      </c>
      <c r="C635" s="1" t="s">
        <v>58</v>
      </c>
      <c r="D635" s="1" t="s">
        <v>59</v>
      </c>
      <c r="E635" s="11" t="s">
        <v>48</v>
      </c>
      <c r="F635" s="12">
        <v>45870</v>
      </c>
      <c r="G635" s="1" t="s">
        <v>32</v>
      </c>
      <c r="H635" s="1" t="s">
        <v>34</v>
      </c>
      <c r="I635" s="2">
        <v>4</v>
      </c>
      <c r="J635" s="3">
        <v>14805</v>
      </c>
      <c r="K635" s="3">
        <v>59220</v>
      </c>
      <c r="L635" s="3">
        <v>24918</v>
      </c>
      <c r="M635" s="3">
        <v>34302</v>
      </c>
      <c r="N635" s="4">
        <v>8</v>
      </c>
    </row>
    <row r="636" spans="1:14" x14ac:dyDescent="0.25">
      <c r="A636" s="2">
        <v>3</v>
      </c>
      <c r="B636" s="1" t="s">
        <v>57</v>
      </c>
      <c r="C636" s="1" t="s">
        <v>58</v>
      </c>
      <c r="D636" s="1" t="s">
        <v>60</v>
      </c>
      <c r="E636" s="11" t="s">
        <v>48</v>
      </c>
      <c r="F636" s="12">
        <v>45870</v>
      </c>
      <c r="G636" s="1" t="s">
        <v>32</v>
      </c>
      <c r="H636" s="1" t="s">
        <v>35</v>
      </c>
      <c r="I636" s="2">
        <v>18</v>
      </c>
      <c r="J636" s="3">
        <v>19089</v>
      </c>
      <c r="K636" s="3">
        <v>343602</v>
      </c>
      <c r="L636" s="3">
        <v>219772</v>
      </c>
      <c r="M636" s="3">
        <v>123830</v>
      </c>
      <c r="N636" s="4">
        <v>11</v>
      </c>
    </row>
    <row r="637" spans="1:14" x14ac:dyDescent="0.25">
      <c r="A637" s="2">
        <v>3</v>
      </c>
      <c r="B637" s="1" t="s">
        <v>57</v>
      </c>
      <c r="C637" s="1" t="s">
        <v>58</v>
      </c>
      <c r="D637" s="1" t="s">
        <v>60</v>
      </c>
      <c r="E637" s="11" t="s">
        <v>48</v>
      </c>
      <c r="F637" s="12">
        <v>45870</v>
      </c>
      <c r="G637" s="1" t="s">
        <v>32</v>
      </c>
      <c r="H637" s="1" t="s">
        <v>36</v>
      </c>
      <c r="I637" s="2">
        <v>8</v>
      </c>
      <c r="J637" s="3">
        <v>5769</v>
      </c>
      <c r="K637" s="3">
        <v>46152</v>
      </c>
      <c r="L637" s="3">
        <v>26794</v>
      </c>
      <c r="M637" s="3">
        <v>19358</v>
      </c>
      <c r="N637" s="4">
        <v>4</v>
      </c>
    </row>
    <row r="638" spans="1:14" x14ac:dyDescent="0.25">
      <c r="A638" s="2">
        <v>3</v>
      </c>
      <c r="B638" s="1" t="s">
        <v>57</v>
      </c>
      <c r="C638" s="1" t="s">
        <v>58</v>
      </c>
      <c r="D638" s="1" t="s">
        <v>60</v>
      </c>
      <c r="E638" s="11" t="s">
        <v>48</v>
      </c>
      <c r="F638" s="12">
        <v>45870</v>
      </c>
      <c r="G638" s="1" t="s">
        <v>37</v>
      </c>
      <c r="H638" s="1" t="s">
        <v>38</v>
      </c>
      <c r="I638" s="2">
        <v>16</v>
      </c>
      <c r="J638" s="3">
        <v>29503</v>
      </c>
      <c r="K638" s="3">
        <v>472048</v>
      </c>
      <c r="L638" s="3">
        <v>276124</v>
      </c>
      <c r="M638" s="3">
        <v>195924</v>
      </c>
      <c r="N638" s="4">
        <v>1</v>
      </c>
    </row>
    <row r="639" spans="1:14" x14ac:dyDescent="0.25">
      <c r="A639" s="2">
        <v>3</v>
      </c>
      <c r="B639" s="1" t="s">
        <v>57</v>
      </c>
      <c r="C639" s="1" t="s">
        <v>58</v>
      </c>
      <c r="D639" s="1" t="s">
        <v>59</v>
      </c>
      <c r="E639" s="11" t="s">
        <v>48</v>
      </c>
      <c r="F639" s="12">
        <v>45870</v>
      </c>
      <c r="G639" s="1" t="s">
        <v>37</v>
      </c>
      <c r="H639" s="1" t="s">
        <v>39</v>
      </c>
      <c r="I639" s="2">
        <v>11</v>
      </c>
      <c r="J639" s="3">
        <v>36905</v>
      </c>
      <c r="K639" s="3">
        <v>405955</v>
      </c>
      <c r="L639" s="3">
        <v>203578</v>
      </c>
      <c r="M639" s="3">
        <v>202377</v>
      </c>
      <c r="N639" s="4">
        <v>7</v>
      </c>
    </row>
    <row r="640" spans="1:14" x14ac:dyDescent="0.25">
      <c r="A640" s="2">
        <v>3</v>
      </c>
      <c r="B640" s="1" t="s">
        <v>57</v>
      </c>
      <c r="C640" s="1" t="s">
        <v>58</v>
      </c>
      <c r="D640" s="1" t="s">
        <v>60</v>
      </c>
      <c r="E640" s="11" t="s">
        <v>48</v>
      </c>
      <c r="F640" s="12">
        <v>45870</v>
      </c>
      <c r="G640" s="1" t="s">
        <v>37</v>
      </c>
      <c r="H640" s="1" t="s">
        <v>40</v>
      </c>
      <c r="I640" s="2">
        <v>18</v>
      </c>
      <c r="J640" s="3">
        <v>46806</v>
      </c>
      <c r="K640" s="3">
        <v>842508</v>
      </c>
      <c r="L640" s="3">
        <v>361017</v>
      </c>
      <c r="M640" s="3">
        <v>481491</v>
      </c>
      <c r="N640" s="4">
        <v>7</v>
      </c>
    </row>
    <row r="641" spans="1:14" x14ac:dyDescent="0.25">
      <c r="A641" s="2">
        <v>3</v>
      </c>
      <c r="B641" s="1" t="s">
        <v>57</v>
      </c>
      <c r="C641" s="1" t="s">
        <v>58</v>
      </c>
      <c r="D641" s="1" t="s">
        <v>60</v>
      </c>
      <c r="E641" s="11" t="s">
        <v>48</v>
      </c>
      <c r="F641" s="12">
        <v>45870</v>
      </c>
      <c r="G641" s="1" t="s">
        <v>37</v>
      </c>
      <c r="H641" s="1" t="s">
        <v>41</v>
      </c>
      <c r="I641" s="2">
        <v>14</v>
      </c>
      <c r="J641" s="3">
        <v>75419</v>
      </c>
      <c r="K641" s="3">
        <v>1055866</v>
      </c>
      <c r="L641" s="3">
        <v>545455</v>
      </c>
      <c r="M641" s="3">
        <v>510411</v>
      </c>
      <c r="N641" s="4">
        <v>1</v>
      </c>
    </row>
    <row r="642" spans="1:14" x14ac:dyDescent="0.25">
      <c r="A642" s="2">
        <v>3</v>
      </c>
      <c r="B642" s="1" t="s">
        <v>57</v>
      </c>
      <c r="C642" s="1" t="s">
        <v>58</v>
      </c>
      <c r="D642" s="1" t="s">
        <v>60</v>
      </c>
      <c r="E642" s="11" t="s">
        <v>49</v>
      </c>
      <c r="F642" s="12">
        <v>45901</v>
      </c>
      <c r="G642" s="1" t="s">
        <v>16</v>
      </c>
      <c r="H642" s="1" t="s">
        <v>17</v>
      </c>
      <c r="I642" s="2">
        <v>12</v>
      </c>
      <c r="J642" s="3">
        <v>113471</v>
      </c>
      <c r="K642" s="3">
        <v>1361652</v>
      </c>
      <c r="L642" s="3">
        <v>747294</v>
      </c>
      <c r="M642" s="3">
        <v>614358</v>
      </c>
      <c r="N642" s="4">
        <v>0</v>
      </c>
    </row>
    <row r="643" spans="1:14" x14ac:dyDescent="0.25">
      <c r="A643" s="2">
        <v>3</v>
      </c>
      <c r="B643" s="1" t="s">
        <v>57</v>
      </c>
      <c r="C643" s="1" t="s">
        <v>58</v>
      </c>
      <c r="D643" s="1" t="s">
        <v>59</v>
      </c>
      <c r="E643" s="11" t="s">
        <v>49</v>
      </c>
      <c r="F643" s="12">
        <v>45901</v>
      </c>
      <c r="G643" s="1" t="s">
        <v>16</v>
      </c>
      <c r="H643" s="1" t="s">
        <v>19</v>
      </c>
      <c r="I643" s="2">
        <v>3</v>
      </c>
      <c r="J643" s="3">
        <v>50841</v>
      </c>
      <c r="K643" s="3">
        <v>152523</v>
      </c>
      <c r="L643" s="3">
        <v>98344</v>
      </c>
      <c r="M643" s="3">
        <v>54179</v>
      </c>
      <c r="N643" s="4">
        <v>6</v>
      </c>
    </row>
    <row r="644" spans="1:14" x14ac:dyDescent="0.25">
      <c r="A644" s="2">
        <v>3</v>
      </c>
      <c r="B644" s="1" t="s">
        <v>57</v>
      </c>
      <c r="C644" s="1" t="s">
        <v>58</v>
      </c>
      <c r="D644" s="1" t="s">
        <v>59</v>
      </c>
      <c r="E644" s="11" t="s">
        <v>49</v>
      </c>
      <c r="F644" s="12">
        <v>45901</v>
      </c>
      <c r="G644" s="1" t="s">
        <v>16</v>
      </c>
      <c r="H644" s="1" t="s">
        <v>20</v>
      </c>
      <c r="I644" s="2">
        <v>7</v>
      </c>
      <c r="J644" s="3">
        <v>96272</v>
      </c>
      <c r="K644" s="3">
        <v>673904</v>
      </c>
      <c r="L644" s="3">
        <v>321809</v>
      </c>
      <c r="M644" s="3">
        <v>352095</v>
      </c>
      <c r="N644" s="4">
        <v>14</v>
      </c>
    </row>
    <row r="645" spans="1:14" x14ac:dyDescent="0.25">
      <c r="A645" s="2">
        <v>3</v>
      </c>
      <c r="B645" s="1" t="s">
        <v>57</v>
      </c>
      <c r="C645" s="1" t="s">
        <v>58</v>
      </c>
      <c r="D645" s="1" t="s">
        <v>60</v>
      </c>
      <c r="E645" s="11" t="s">
        <v>49</v>
      </c>
      <c r="F645" s="12">
        <v>45901</v>
      </c>
      <c r="G645" s="1" t="s">
        <v>16</v>
      </c>
      <c r="H645" s="1" t="s">
        <v>21</v>
      </c>
      <c r="I645" s="2">
        <v>18</v>
      </c>
      <c r="J645" s="3">
        <v>120500</v>
      </c>
      <c r="K645" s="3">
        <v>2169000</v>
      </c>
      <c r="L645" s="3">
        <v>1358905</v>
      </c>
      <c r="M645" s="3">
        <v>810095</v>
      </c>
      <c r="N645" s="4">
        <v>4</v>
      </c>
    </row>
    <row r="646" spans="1:14" x14ac:dyDescent="0.25">
      <c r="A646" s="2">
        <v>3</v>
      </c>
      <c r="B646" s="1" t="s">
        <v>57</v>
      </c>
      <c r="C646" s="1" t="s">
        <v>58</v>
      </c>
      <c r="D646" s="1" t="s">
        <v>59</v>
      </c>
      <c r="E646" s="11" t="s">
        <v>49</v>
      </c>
      <c r="F646" s="12">
        <v>45901</v>
      </c>
      <c r="G646" s="1" t="s">
        <v>22</v>
      </c>
      <c r="H646" s="1" t="s">
        <v>23</v>
      </c>
      <c r="I646" s="2">
        <v>8</v>
      </c>
      <c r="J646" s="3">
        <v>118605</v>
      </c>
      <c r="K646" s="3">
        <v>948840</v>
      </c>
      <c r="L646" s="3">
        <v>586902</v>
      </c>
      <c r="M646" s="3">
        <v>361938</v>
      </c>
      <c r="N646" s="4">
        <v>6</v>
      </c>
    </row>
    <row r="647" spans="1:14" x14ac:dyDescent="0.25">
      <c r="A647" s="2">
        <v>3</v>
      </c>
      <c r="B647" s="1" t="s">
        <v>57</v>
      </c>
      <c r="C647" s="1" t="s">
        <v>58</v>
      </c>
      <c r="D647" s="1" t="s">
        <v>59</v>
      </c>
      <c r="E647" s="11" t="s">
        <v>49</v>
      </c>
      <c r="F647" s="12">
        <v>45901</v>
      </c>
      <c r="G647" s="1" t="s">
        <v>22</v>
      </c>
      <c r="H647" s="1" t="s">
        <v>24</v>
      </c>
      <c r="I647" s="2">
        <v>12</v>
      </c>
      <c r="J647" s="3">
        <v>128255</v>
      </c>
      <c r="K647" s="3">
        <v>1539060</v>
      </c>
      <c r="L647" s="3">
        <v>697546</v>
      </c>
      <c r="M647" s="3">
        <v>841514</v>
      </c>
      <c r="N647" s="4">
        <v>5</v>
      </c>
    </row>
    <row r="648" spans="1:14" x14ac:dyDescent="0.25">
      <c r="A648" s="2">
        <v>3</v>
      </c>
      <c r="B648" s="1" t="s">
        <v>57</v>
      </c>
      <c r="C648" s="1" t="s">
        <v>58</v>
      </c>
      <c r="D648" s="1" t="s">
        <v>60</v>
      </c>
      <c r="E648" s="11" t="s">
        <v>49</v>
      </c>
      <c r="F648" s="12">
        <v>45901</v>
      </c>
      <c r="G648" s="1" t="s">
        <v>22</v>
      </c>
      <c r="H648" s="1" t="s">
        <v>25</v>
      </c>
      <c r="I648" s="2">
        <v>11</v>
      </c>
      <c r="J648" s="3">
        <v>78712</v>
      </c>
      <c r="K648" s="3">
        <v>865832</v>
      </c>
      <c r="L648" s="3">
        <v>589818</v>
      </c>
      <c r="M648" s="3">
        <v>276014</v>
      </c>
      <c r="N648" s="4">
        <v>12</v>
      </c>
    </row>
    <row r="649" spans="1:14" x14ac:dyDescent="0.25">
      <c r="A649" s="2">
        <v>3</v>
      </c>
      <c r="B649" s="1" t="s">
        <v>57</v>
      </c>
      <c r="C649" s="1" t="s">
        <v>58</v>
      </c>
      <c r="D649" s="1" t="s">
        <v>59</v>
      </c>
      <c r="E649" s="11" t="s">
        <v>49</v>
      </c>
      <c r="F649" s="12">
        <v>45901</v>
      </c>
      <c r="G649" s="1" t="s">
        <v>22</v>
      </c>
      <c r="H649" s="1" t="s">
        <v>26</v>
      </c>
      <c r="I649" s="2">
        <v>13</v>
      </c>
      <c r="J649" s="3">
        <v>105457</v>
      </c>
      <c r="K649" s="3">
        <v>1370941</v>
      </c>
      <c r="L649" s="3">
        <v>592771</v>
      </c>
      <c r="M649" s="3">
        <v>778170</v>
      </c>
      <c r="N649" s="4">
        <v>4</v>
      </c>
    </row>
    <row r="650" spans="1:14" x14ac:dyDescent="0.25">
      <c r="A650" s="2">
        <v>3</v>
      </c>
      <c r="B650" s="1" t="s">
        <v>57</v>
      </c>
      <c r="C650" s="1" t="s">
        <v>58</v>
      </c>
      <c r="D650" s="1" t="s">
        <v>60</v>
      </c>
      <c r="E650" s="11" t="s">
        <v>49</v>
      </c>
      <c r="F650" s="12">
        <v>45901</v>
      </c>
      <c r="G650" s="1" t="s">
        <v>27</v>
      </c>
      <c r="H650" s="1" t="s">
        <v>28</v>
      </c>
      <c r="I650" s="2">
        <v>15</v>
      </c>
      <c r="J650" s="3">
        <v>75731</v>
      </c>
      <c r="K650" s="3">
        <v>1135965</v>
      </c>
      <c r="L650" s="3">
        <v>733078</v>
      </c>
      <c r="M650" s="3">
        <v>402887</v>
      </c>
      <c r="N650" s="4">
        <v>14</v>
      </c>
    </row>
    <row r="651" spans="1:14" x14ac:dyDescent="0.25">
      <c r="A651" s="2">
        <v>3</v>
      </c>
      <c r="B651" s="1" t="s">
        <v>57</v>
      </c>
      <c r="C651" s="1" t="s">
        <v>58</v>
      </c>
      <c r="D651" s="1" t="s">
        <v>59</v>
      </c>
      <c r="E651" s="11" t="s">
        <v>49</v>
      </c>
      <c r="F651" s="12">
        <v>45901</v>
      </c>
      <c r="G651" s="1" t="s">
        <v>27</v>
      </c>
      <c r="H651" s="1" t="s">
        <v>29</v>
      </c>
      <c r="I651" s="2">
        <v>15</v>
      </c>
      <c r="J651" s="3">
        <v>122386</v>
      </c>
      <c r="K651" s="3">
        <v>1835790</v>
      </c>
      <c r="L651" s="3">
        <v>817298</v>
      </c>
      <c r="M651" s="3">
        <v>1018492</v>
      </c>
      <c r="N651" s="4">
        <v>11</v>
      </c>
    </row>
    <row r="652" spans="1:14" x14ac:dyDescent="0.25">
      <c r="A652" s="2">
        <v>3</v>
      </c>
      <c r="B652" s="1" t="s">
        <v>57</v>
      </c>
      <c r="C652" s="1" t="s">
        <v>58</v>
      </c>
      <c r="D652" s="1" t="s">
        <v>59</v>
      </c>
      <c r="E652" s="11" t="s">
        <v>49</v>
      </c>
      <c r="F652" s="12">
        <v>45901</v>
      </c>
      <c r="G652" s="1" t="s">
        <v>27</v>
      </c>
      <c r="H652" s="1" t="s">
        <v>30</v>
      </c>
      <c r="I652" s="2">
        <v>13</v>
      </c>
      <c r="J652" s="3">
        <v>128821</v>
      </c>
      <c r="K652" s="3">
        <v>1674673</v>
      </c>
      <c r="L652" s="3">
        <v>942290</v>
      </c>
      <c r="M652" s="3">
        <v>732383</v>
      </c>
      <c r="N652" s="4">
        <v>12</v>
      </c>
    </row>
    <row r="653" spans="1:14" x14ac:dyDescent="0.25">
      <c r="A653" s="2">
        <v>3</v>
      </c>
      <c r="B653" s="1" t="s">
        <v>57</v>
      </c>
      <c r="C653" s="1" t="s">
        <v>58</v>
      </c>
      <c r="D653" s="1" t="s">
        <v>60</v>
      </c>
      <c r="E653" s="11" t="s">
        <v>49</v>
      </c>
      <c r="F653" s="12">
        <v>45901</v>
      </c>
      <c r="G653" s="1" t="s">
        <v>27</v>
      </c>
      <c r="H653" s="1" t="s">
        <v>31</v>
      </c>
      <c r="I653" s="2">
        <v>1</v>
      </c>
      <c r="J653" s="3">
        <v>145623</v>
      </c>
      <c r="K653" s="3">
        <v>145623</v>
      </c>
      <c r="L653" s="3">
        <v>84982</v>
      </c>
      <c r="M653" s="3">
        <v>60641</v>
      </c>
      <c r="N653" s="4">
        <v>5</v>
      </c>
    </row>
    <row r="654" spans="1:14" x14ac:dyDescent="0.25">
      <c r="A654" s="2">
        <v>3</v>
      </c>
      <c r="B654" s="1" t="s">
        <v>57</v>
      </c>
      <c r="C654" s="1" t="s">
        <v>58</v>
      </c>
      <c r="D654" s="1" t="s">
        <v>59</v>
      </c>
      <c r="E654" s="11" t="s">
        <v>49</v>
      </c>
      <c r="F654" s="12">
        <v>45901</v>
      </c>
      <c r="G654" s="1" t="s">
        <v>32</v>
      </c>
      <c r="H654" s="1" t="s">
        <v>33</v>
      </c>
      <c r="I654" s="2">
        <v>19</v>
      </c>
      <c r="J654" s="3">
        <v>5022</v>
      </c>
      <c r="K654" s="3">
        <v>95418</v>
      </c>
      <c r="L654" s="3">
        <v>57886</v>
      </c>
      <c r="M654" s="3">
        <v>37532</v>
      </c>
      <c r="N654" s="4">
        <v>6</v>
      </c>
    </row>
    <row r="655" spans="1:14" x14ac:dyDescent="0.25">
      <c r="A655" s="2">
        <v>3</v>
      </c>
      <c r="B655" s="1" t="s">
        <v>57</v>
      </c>
      <c r="C655" s="1" t="s">
        <v>58</v>
      </c>
      <c r="D655" s="1" t="s">
        <v>59</v>
      </c>
      <c r="E655" s="11" t="s">
        <v>49</v>
      </c>
      <c r="F655" s="12">
        <v>45901</v>
      </c>
      <c r="G655" s="1" t="s">
        <v>32</v>
      </c>
      <c r="H655" s="1" t="s">
        <v>34</v>
      </c>
      <c r="I655" s="2">
        <v>12</v>
      </c>
      <c r="J655" s="3">
        <v>14496</v>
      </c>
      <c r="K655" s="3">
        <v>173952</v>
      </c>
      <c r="L655" s="3">
        <v>109300</v>
      </c>
      <c r="M655" s="3">
        <v>64652</v>
      </c>
      <c r="N655" s="4">
        <v>14</v>
      </c>
    </row>
    <row r="656" spans="1:14" x14ac:dyDescent="0.25">
      <c r="A656" s="2">
        <v>3</v>
      </c>
      <c r="B656" s="1" t="s">
        <v>57</v>
      </c>
      <c r="C656" s="1" t="s">
        <v>58</v>
      </c>
      <c r="D656" s="1" t="s">
        <v>59</v>
      </c>
      <c r="E656" s="11" t="s">
        <v>49</v>
      </c>
      <c r="F656" s="12">
        <v>45901</v>
      </c>
      <c r="G656" s="1" t="s">
        <v>32</v>
      </c>
      <c r="H656" s="1" t="s">
        <v>35</v>
      </c>
      <c r="I656" s="2">
        <v>8</v>
      </c>
      <c r="J656" s="3">
        <v>13553</v>
      </c>
      <c r="K656" s="3">
        <v>108424</v>
      </c>
      <c r="L656" s="3">
        <v>61521</v>
      </c>
      <c r="M656" s="3">
        <v>46903</v>
      </c>
      <c r="N656" s="4">
        <v>7</v>
      </c>
    </row>
    <row r="657" spans="1:14" x14ac:dyDescent="0.25">
      <c r="A657" s="2">
        <v>3</v>
      </c>
      <c r="B657" s="1" t="s">
        <v>57</v>
      </c>
      <c r="C657" s="1" t="s">
        <v>58</v>
      </c>
      <c r="D657" s="1" t="s">
        <v>59</v>
      </c>
      <c r="E657" s="11" t="s">
        <v>49</v>
      </c>
      <c r="F657" s="12">
        <v>45901</v>
      </c>
      <c r="G657" s="1" t="s">
        <v>32</v>
      </c>
      <c r="H657" s="1" t="s">
        <v>36</v>
      </c>
      <c r="I657" s="2">
        <v>1</v>
      </c>
      <c r="J657" s="3">
        <v>10995</v>
      </c>
      <c r="K657" s="3">
        <v>10995</v>
      </c>
      <c r="L657" s="3">
        <v>6794</v>
      </c>
      <c r="M657" s="3">
        <v>4201</v>
      </c>
      <c r="N657" s="4">
        <v>0</v>
      </c>
    </row>
    <row r="658" spans="1:14" x14ac:dyDescent="0.25">
      <c r="A658" s="2">
        <v>3</v>
      </c>
      <c r="B658" s="1" t="s">
        <v>57</v>
      </c>
      <c r="C658" s="1" t="s">
        <v>58</v>
      </c>
      <c r="D658" s="1" t="s">
        <v>60</v>
      </c>
      <c r="E658" s="11" t="s">
        <v>49</v>
      </c>
      <c r="F658" s="12">
        <v>45901</v>
      </c>
      <c r="G658" s="1" t="s">
        <v>37</v>
      </c>
      <c r="H658" s="1" t="s">
        <v>38</v>
      </c>
      <c r="I658" s="2">
        <v>4</v>
      </c>
      <c r="J658" s="3">
        <v>133767</v>
      </c>
      <c r="K658" s="3">
        <v>535068</v>
      </c>
      <c r="L658" s="3">
        <v>245160</v>
      </c>
      <c r="M658" s="3">
        <v>289908</v>
      </c>
      <c r="N658" s="4">
        <v>9</v>
      </c>
    </row>
    <row r="659" spans="1:14" x14ac:dyDescent="0.25">
      <c r="A659" s="2">
        <v>3</v>
      </c>
      <c r="B659" s="1" t="s">
        <v>57</v>
      </c>
      <c r="C659" s="1" t="s">
        <v>58</v>
      </c>
      <c r="D659" s="1" t="s">
        <v>59</v>
      </c>
      <c r="E659" s="11" t="s">
        <v>49</v>
      </c>
      <c r="F659" s="12">
        <v>45901</v>
      </c>
      <c r="G659" s="1" t="s">
        <v>37</v>
      </c>
      <c r="H659" s="1" t="s">
        <v>39</v>
      </c>
      <c r="I659" s="2">
        <v>2</v>
      </c>
      <c r="J659" s="3">
        <v>130058</v>
      </c>
      <c r="K659" s="3">
        <v>260116</v>
      </c>
      <c r="L659" s="3">
        <v>128309</v>
      </c>
      <c r="M659" s="3">
        <v>131807</v>
      </c>
      <c r="N659" s="4">
        <v>4</v>
      </c>
    </row>
    <row r="660" spans="1:14" x14ac:dyDescent="0.25">
      <c r="A660" s="2">
        <v>3</v>
      </c>
      <c r="B660" s="1" t="s">
        <v>57</v>
      </c>
      <c r="C660" s="1" t="s">
        <v>58</v>
      </c>
      <c r="D660" s="1" t="s">
        <v>59</v>
      </c>
      <c r="E660" s="11" t="s">
        <v>49</v>
      </c>
      <c r="F660" s="12">
        <v>45901</v>
      </c>
      <c r="G660" s="1" t="s">
        <v>37</v>
      </c>
      <c r="H660" s="1" t="s">
        <v>40</v>
      </c>
      <c r="I660" s="2">
        <v>14</v>
      </c>
      <c r="J660" s="3">
        <v>100102</v>
      </c>
      <c r="K660" s="3">
        <v>1401428</v>
      </c>
      <c r="L660" s="3">
        <v>819125</v>
      </c>
      <c r="M660" s="3">
        <v>582303</v>
      </c>
      <c r="N660" s="4">
        <v>1</v>
      </c>
    </row>
    <row r="661" spans="1:14" x14ac:dyDescent="0.25">
      <c r="A661" s="2">
        <v>3</v>
      </c>
      <c r="B661" s="1" t="s">
        <v>57</v>
      </c>
      <c r="C661" s="1" t="s">
        <v>58</v>
      </c>
      <c r="D661" s="1" t="s">
        <v>59</v>
      </c>
      <c r="E661" s="11" t="s">
        <v>49</v>
      </c>
      <c r="F661" s="12">
        <v>45901</v>
      </c>
      <c r="G661" s="1" t="s">
        <v>37</v>
      </c>
      <c r="H661" s="1" t="s">
        <v>41</v>
      </c>
      <c r="I661" s="2">
        <v>9</v>
      </c>
      <c r="J661" s="3">
        <v>87695</v>
      </c>
      <c r="K661" s="3">
        <v>789255</v>
      </c>
      <c r="L661" s="3">
        <v>501285</v>
      </c>
      <c r="M661" s="3">
        <v>287970</v>
      </c>
      <c r="N661" s="4">
        <v>3</v>
      </c>
    </row>
    <row r="662" spans="1:14" x14ac:dyDescent="0.25">
      <c r="A662" s="2">
        <v>3</v>
      </c>
      <c r="B662" s="1" t="s">
        <v>57</v>
      </c>
      <c r="C662" s="1" t="s">
        <v>58</v>
      </c>
      <c r="D662" s="1" t="s">
        <v>60</v>
      </c>
      <c r="E662" s="11" t="s">
        <v>50</v>
      </c>
      <c r="F662" s="12">
        <v>45931</v>
      </c>
      <c r="G662" s="1" t="s">
        <v>16</v>
      </c>
      <c r="H662" s="1" t="s">
        <v>17</v>
      </c>
      <c r="I662" s="2">
        <v>4</v>
      </c>
      <c r="J662" s="3">
        <v>67701</v>
      </c>
      <c r="K662" s="3">
        <v>270804</v>
      </c>
      <c r="L662" s="3">
        <v>177218</v>
      </c>
      <c r="M662" s="3">
        <v>93586</v>
      </c>
      <c r="N662" s="4">
        <v>9</v>
      </c>
    </row>
    <row r="663" spans="1:14" x14ac:dyDescent="0.25">
      <c r="A663" s="2">
        <v>3</v>
      </c>
      <c r="B663" s="1" t="s">
        <v>57</v>
      </c>
      <c r="C663" s="1" t="s">
        <v>58</v>
      </c>
      <c r="D663" s="1" t="s">
        <v>60</v>
      </c>
      <c r="E663" s="11" t="s">
        <v>50</v>
      </c>
      <c r="F663" s="12">
        <v>45931</v>
      </c>
      <c r="G663" s="1" t="s">
        <v>16</v>
      </c>
      <c r="H663" s="1" t="s">
        <v>19</v>
      </c>
      <c r="I663" s="2">
        <v>12</v>
      </c>
      <c r="J663" s="3">
        <v>46832</v>
      </c>
      <c r="K663" s="3">
        <v>561984</v>
      </c>
      <c r="L663" s="3">
        <v>226653</v>
      </c>
      <c r="M663" s="3">
        <v>335331</v>
      </c>
      <c r="N663" s="4">
        <v>8</v>
      </c>
    </row>
    <row r="664" spans="1:14" x14ac:dyDescent="0.25">
      <c r="A664" s="2">
        <v>3</v>
      </c>
      <c r="B664" s="1" t="s">
        <v>57</v>
      </c>
      <c r="C664" s="1" t="s">
        <v>58</v>
      </c>
      <c r="D664" s="1" t="s">
        <v>59</v>
      </c>
      <c r="E664" s="11" t="s">
        <v>50</v>
      </c>
      <c r="F664" s="12">
        <v>45931</v>
      </c>
      <c r="G664" s="1" t="s">
        <v>16</v>
      </c>
      <c r="H664" s="1" t="s">
        <v>20</v>
      </c>
      <c r="I664" s="2">
        <v>2</v>
      </c>
      <c r="J664" s="3">
        <v>60372</v>
      </c>
      <c r="K664" s="3">
        <v>120744</v>
      </c>
      <c r="L664" s="3">
        <v>61625</v>
      </c>
      <c r="M664" s="3">
        <v>59119</v>
      </c>
      <c r="N664" s="4">
        <v>10</v>
      </c>
    </row>
    <row r="665" spans="1:14" x14ac:dyDescent="0.25">
      <c r="A665" s="2">
        <v>3</v>
      </c>
      <c r="B665" s="1" t="s">
        <v>57</v>
      </c>
      <c r="C665" s="1" t="s">
        <v>58</v>
      </c>
      <c r="D665" s="1" t="s">
        <v>60</v>
      </c>
      <c r="E665" s="11" t="s">
        <v>50</v>
      </c>
      <c r="F665" s="12">
        <v>45931</v>
      </c>
      <c r="G665" s="1" t="s">
        <v>16</v>
      </c>
      <c r="H665" s="1" t="s">
        <v>21</v>
      </c>
      <c r="I665" s="2">
        <v>16</v>
      </c>
      <c r="J665" s="3">
        <v>120082</v>
      </c>
      <c r="K665" s="3">
        <v>1921312</v>
      </c>
      <c r="L665" s="3">
        <v>1253831</v>
      </c>
      <c r="M665" s="3">
        <v>667481</v>
      </c>
      <c r="N665" s="4">
        <v>5</v>
      </c>
    </row>
    <row r="666" spans="1:14" x14ac:dyDescent="0.25">
      <c r="A666" s="2">
        <v>3</v>
      </c>
      <c r="B666" s="1" t="s">
        <v>57</v>
      </c>
      <c r="C666" s="1" t="s">
        <v>58</v>
      </c>
      <c r="D666" s="1" t="s">
        <v>60</v>
      </c>
      <c r="E666" s="11" t="s">
        <v>50</v>
      </c>
      <c r="F666" s="12">
        <v>45931</v>
      </c>
      <c r="G666" s="1" t="s">
        <v>22</v>
      </c>
      <c r="H666" s="1" t="s">
        <v>23</v>
      </c>
      <c r="I666" s="2">
        <v>19</v>
      </c>
      <c r="J666" s="3">
        <v>135812</v>
      </c>
      <c r="K666" s="3">
        <v>2580428</v>
      </c>
      <c r="L666" s="3">
        <v>1128715</v>
      </c>
      <c r="M666" s="3">
        <v>1451713</v>
      </c>
      <c r="N666" s="4">
        <v>14</v>
      </c>
    </row>
    <row r="667" spans="1:14" x14ac:dyDescent="0.25">
      <c r="A667" s="2">
        <v>3</v>
      </c>
      <c r="B667" s="1" t="s">
        <v>57</v>
      </c>
      <c r="C667" s="1" t="s">
        <v>58</v>
      </c>
      <c r="D667" s="1" t="s">
        <v>60</v>
      </c>
      <c r="E667" s="11" t="s">
        <v>50</v>
      </c>
      <c r="F667" s="12">
        <v>45931</v>
      </c>
      <c r="G667" s="1" t="s">
        <v>22</v>
      </c>
      <c r="H667" s="1" t="s">
        <v>24</v>
      </c>
      <c r="I667" s="2">
        <v>4</v>
      </c>
      <c r="J667" s="3">
        <v>127539</v>
      </c>
      <c r="K667" s="3">
        <v>510156</v>
      </c>
      <c r="L667" s="3">
        <v>323500</v>
      </c>
      <c r="M667" s="3">
        <v>186656</v>
      </c>
      <c r="N667" s="4">
        <v>5</v>
      </c>
    </row>
    <row r="668" spans="1:14" x14ac:dyDescent="0.25">
      <c r="A668" s="2">
        <v>3</v>
      </c>
      <c r="B668" s="1" t="s">
        <v>57</v>
      </c>
      <c r="C668" s="1" t="s">
        <v>58</v>
      </c>
      <c r="D668" s="1" t="s">
        <v>60</v>
      </c>
      <c r="E668" s="11" t="s">
        <v>50</v>
      </c>
      <c r="F668" s="12">
        <v>45931</v>
      </c>
      <c r="G668" s="1" t="s">
        <v>22</v>
      </c>
      <c r="H668" s="1" t="s">
        <v>25</v>
      </c>
      <c r="I668" s="2">
        <v>3</v>
      </c>
      <c r="J668" s="3">
        <v>43705</v>
      </c>
      <c r="K668" s="3">
        <v>131115</v>
      </c>
      <c r="L668" s="3">
        <v>67846</v>
      </c>
      <c r="M668" s="3">
        <v>63269</v>
      </c>
      <c r="N668" s="4">
        <v>4</v>
      </c>
    </row>
    <row r="669" spans="1:14" x14ac:dyDescent="0.25">
      <c r="A669" s="2">
        <v>3</v>
      </c>
      <c r="B669" s="1" t="s">
        <v>57</v>
      </c>
      <c r="C669" s="1" t="s">
        <v>58</v>
      </c>
      <c r="D669" s="1" t="s">
        <v>59</v>
      </c>
      <c r="E669" s="11" t="s">
        <v>50</v>
      </c>
      <c r="F669" s="12">
        <v>45931</v>
      </c>
      <c r="G669" s="1" t="s">
        <v>22</v>
      </c>
      <c r="H669" s="1" t="s">
        <v>26</v>
      </c>
      <c r="I669" s="2">
        <v>8</v>
      </c>
      <c r="J669" s="3">
        <v>139654</v>
      </c>
      <c r="K669" s="3">
        <v>1117232</v>
      </c>
      <c r="L669" s="3">
        <v>447971</v>
      </c>
      <c r="M669" s="3">
        <v>669261</v>
      </c>
      <c r="N669" s="4">
        <v>5</v>
      </c>
    </row>
    <row r="670" spans="1:14" x14ac:dyDescent="0.25">
      <c r="A670" s="2">
        <v>3</v>
      </c>
      <c r="B670" s="1" t="s">
        <v>57</v>
      </c>
      <c r="C670" s="1" t="s">
        <v>58</v>
      </c>
      <c r="D670" s="1" t="s">
        <v>59</v>
      </c>
      <c r="E670" s="11" t="s">
        <v>50</v>
      </c>
      <c r="F670" s="12">
        <v>45931</v>
      </c>
      <c r="G670" s="1" t="s">
        <v>27</v>
      </c>
      <c r="H670" s="1" t="s">
        <v>28</v>
      </c>
      <c r="I670" s="2">
        <v>14</v>
      </c>
      <c r="J670" s="3">
        <v>124195</v>
      </c>
      <c r="K670" s="3">
        <v>1738730</v>
      </c>
      <c r="L670" s="3">
        <v>790071</v>
      </c>
      <c r="M670" s="3">
        <v>948659</v>
      </c>
      <c r="N670" s="4">
        <v>12</v>
      </c>
    </row>
    <row r="671" spans="1:14" x14ac:dyDescent="0.25">
      <c r="A671" s="2">
        <v>3</v>
      </c>
      <c r="B671" s="1" t="s">
        <v>57</v>
      </c>
      <c r="C671" s="1" t="s">
        <v>58</v>
      </c>
      <c r="D671" s="1" t="s">
        <v>59</v>
      </c>
      <c r="E671" s="11" t="s">
        <v>50</v>
      </c>
      <c r="F671" s="12">
        <v>45931</v>
      </c>
      <c r="G671" s="1" t="s">
        <v>27</v>
      </c>
      <c r="H671" s="1" t="s">
        <v>29</v>
      </c>
      <c r="I671" s="2">
        <v>17</v>
      </c>
      <c r="J671" s="3">
        <v>47766</v>
      </c>
      <c r="K671" s="3">
        <v>812022</v>
      </c>
      <c r="L671" s="3">
        <v>537784</v>
      </c>
      <c r="M671" s="3">
        <v>274238</v>
      </c>
      <c r="N671" s="4">
        <v>12</v>
      </c>
    </row>
    <row r="672" spans="1:14" x14ac:dyDescent="0.25">
      <c r="A672" s="2">
        <v>3</v>
      </c>
      <c r="B672" s="1" t="s">
        <v>57</v>
      </c>
      <c r="C672" s="1" t="s">
        <v>58</v>
      </c>
      <c r="D672" s="1" t="s">
        <v>60</v>
      </c>
      <c r="E672" s="11" t="s">
        <v>50</v>
      </c>
      <c r="F672" s="12">
        <v>45931</v>
      </c>
      <c r="G672" s="1" t="s">
        <v>27</v>
      </c>
      <c r="H672" s="1" t="s">
        <v>30</v>
      </c>
      <c r="I672" s="2">
        <v>14</v>
      </c>
      <c r="J672" s="3">
        <v>89122</v>
      </c>
      <c r="K672" s="3">
        <v>1247708</v>
      </c>
      <c r="L672" s="3">
        <v>523358</v>
      </c>
      <c r="M672" s="3">
        <v>724350</v>
      </c>
      <c r="N672" s="4">
        <v>9</v>
      </c>
    </row>
    <row r="673" spans="1:14" x14ac:dyDescent="0.25">
      <c r="A673" s="2">
        <v>3</v>
      </c>
      <c r="B673" s="1" t="s">
        <v>57</v>
      </c>
      <c r="C673" s="1" t="s">
        <v>58</v>
      </c>
      <c r="D673" s="1" t="s">
        <v>59</v>
      </c>
      <c r="E673" s="11" t="s">
        <v>50</v>
      </c>
      <c r="F673" s="12">
        <v>45931</v>
      </c>
      <c r="G673" s="1" t="s">
        <v>27</v>
      </c>
      <c r="H673" s="1" t="s">
        <v>31</v>
      </c>
      <c r="I673" s="2">
        <v>4</v>
      </c>
      <c r="J673" s="3">
        <v>56727</v>
      </c>
      <c r="K673" s="3">
        <v>226908</v>
      </c>
      <c r="L673" s="3">
        <v>131844</v>
      </c>
      <c r="M673" s="3">
        <v>95064</v>
      </c>
      <c r="N673" s="4">
        <v>1</v>
      </c>
    </row>
    <row r="674" spans="1:14" x14ac:dyDescent="0.25">
      <c r="A674" s="2">
        <v>3</v>
      </c>
      <c r="B674" s="1" t="s">
        <v>57</v>
      </c>
      <c r="C674" s="1" t="s">
        <v>58</v>
      </c>
      <c r="D674" s="1" t="s">
        <v>60</v>
      </c>
      <c r="E674" s="11" t="s">
        <v>50</v>
      </c>
      <c r="F674" s="12">
        <v>45931</v>
      </c>
      <c r="G674" s="1" t="s">
        <v>32</v>
      </c>
      <c r="H674" s="1" t="s">
        <v>33</v>
      </c>
      <c r="I674" s="2">
        <v>18</v>
      </c>
      <c r="J674" s="3">
        <v>19226</v>
      </c>
      <c r="K674" s="3">
        <v>346068</v>
      </c>
      <c r="L674" s="3">
        <v>166440</v>
      </c>
      <c r="M674" s="3">
        <v>179628</v>
      </c>
      <c r="N674" s="4">
        <v>11</v>
      </c>
    </row>
    <row r="675" spans="1:14" x14ac:dyDescent="0.25">
      <c r="A675" s="2">
        <v>3</v>
      </c>
      <c r="B675" s="1" t="s">
        <v>57</v>
      </c>
      <c r="C675" s="1" t="s">
        <v>58</v>
      </c>
      <c r="D675" s="1" t="s">
        <v>60</v>
      </c>
      <c r="E675" s="11" t="s">
        <v>50</v>
      </c>
      <c r="F675" s="12">
        <v>45931</v>
      </c>
      <c r="G675" s="1" t="s">
        <v>32</v>
      </c>
      <c r="H675" s="1" t="s">
        <v>34</v>
      </c>
      <c r="I675" s="2">
        <v>19</v>
      </c>
      <c r="J675" s="3">
        <v>17080</v>
      </c>
      <c r="K675" s="3">
        <v>324520</v>
      </c>
      <c r="L675" s="3">
        <v>191774</v>
      </c>
      <c r="M675" s="3">
        <v>132746</v>
      </c>
      <c r="N675" s="4">
        <v>2</v>
      </c>
    </row>
    <row r="676" spans="1:14" x14ac:dyDescent="0.25">
      <c r="A676" s="2">
        <v>3</v>
      </c>
      <c r="B676" s="1" t="s">
        <v>57</v>
      </c>
      <c r="C676" s="1" t="s">
        <v>58</v>
      </c>
      <c r="D676" s="1" t="s">
        <v>59</v>
      </c>
      <c r="E676" s="11" t="s">
        <v>50</v>
      </c>
      <c r="F676" s="12">
        <v>45931</v>
      </c>
      <c r="G676" s="1" t="s">
        <v>32</v>
      </c>
      <c r="H676" s="1" t="s">
        <v>35</v>
      </c>
      <c r="I676" s="2">
        <v>13</v>
      </c>
      <c r="J676" s="3">
        <v>18387</v>
      </c>
      <c r="K676" s="3">
        <v>239031</v>
      </c>
      <c r="L676" s="3">
        <v>151896</v>
      </c>
      <c r="M676" s="3">
        <v>87135</v>
      </c>
      <c r="N676" s="4">
        <v>5</v>
      </c>
    </row>
    <row r="677" spans="1:14" x14ac:dyDescent="0.25">
      <c r="A677" s="2">
        <v>3</v>
      </c>
      <c r="B677" s="1" t="s">
        <v>57</v>
      </c>
      <c r="C677" s="1" t="s">
        <v>58</v>
      </c>
      <c r="D677" s="1" t="s">
        <v>59</v>
      </c>
      <c r="E677" s="11" t="s">
        <v>50</v>
      </c>
      <c r="F677" s="12">
        <v>45931</v>
      </c>
      <c r="G677" s="1" t="s">
        <v>32</v>
      </c>
      <c r="H677" s="1" t="s">
        <v>36</v>
      </c>
      <c r="I677" s="2">
        <v>4</v>
      </c>
      <c r="J677" s="3">
        <v>15258</v>
      </c>
      <c r="K677" s="3">
        <v>61032</v>
      </c>
      <c r="L677" s="3">
        <v>32472</v>
      </c>
      <c r="M677" s="3">
        <v>28560</v>
      </c>
      <c r="N677" s="4">
        <v>3</v>
      </c>
    </row>
    <row r="678" spans="1:14" x14ac:dyDescent="0.25">
      <c r="A678" s="2">
        <v>3</v>
      </c>
      <c r="B678" s="1" t="s">
        <v>57</v>
      </c>
      <c r="C678" s="1" t="s">
        <v>58</v>
      </c>
      <c r="D678" s="1" t="s">
        <v>59</v>
      </c>
      <c r="E678" s="11" t="s">
        <v>50</v>
      </c>
      <c r="F678" s="12">
        <v>45931</v>
      </c>
      <c r="G678" s="1" t="s">
        <v>37</v>
      </c>
      <c r="H678" s="1" t="s">
        <v>38</v>
      </c>
      <c r="I678" s="2">
        <v>17</v>
      </c>
      <c r="J678" s="3">
        <v>144086</v>
      </c>
      <c r="K678" s="3">
        <v>2449462</v>
      </c>
      <c r="L678" s="3">
        <v>1153102</v>
      </c>
      <c r="M678" s="3">
        <v>1296360</v>
      </c>
      <c r="N678" s="4">
        <v>14</v>
      </c>
    </row>
    <row r="679" spans="1:14" x14ac:dyDescent="0.25">
      <c r="A679" s="2">
        <v>3</v>
      </c>
      <c r="B679" s="1" t="s">
        <v>57</v>
      </c>
      <c r="C679" s="1" t="s">
        <v>58</v>
      </c>
      <c r="D679" s="1" t="s">
        <v>59</v>
      </c>
      <c r="E679" s="11" t="s">
        <v>50</v>
      </c>
      <c r="F679" s="12">
        <v>45931</v>
      </c>
      <c r="G679" s="1" t="s">
        <v>37</v>
      </c>
      <c r="H679" s="1" t="s">
        <v>39</v>
      </c>
      <c r="I679" s="2">
        <v>17</v>
      </c>
      <c r="J679" s="3">
        <v>104730</v>
      </c>
      <c r="K679" s="3">
        <v>1780410</v>
      </c>
      <c r="L679" s="3">
        <v>1140192</v>
      </c>
      <c r="M679" s="3">
        <v>640218</v>
      </c>
      <c r="N679" s="4">
        <v>14</v>
      </c>
    </row>
    <row r="680" spans="1:14" x14ac:dyDescent="0.25">
      <c r="A680" s="2">
        <v>3</v>
      </c>
      <c r="B680" s="1" t="s">
        <v>57</v>
      </c>
      <c r="C680" s="1" t="s">
        <v>58</v>
      </c>
      <c r="D680" s="1" t="s">
        <v>60</v>
      </c>
      <c r="E680" s="11" t="s">
        <v>50</v>
      </c>
      <c r="F680" s="12">
        <v>45931</v>
      </c>
      <c r="G680" s="1" t="s">
        <v>37</v>
      </c>
      <c r="H680" s="1" t="s">
        <v>40</v>
      </c>
      <c r="I680" s="2">
        <v>11</v>
      </c>
      <c r="J680" s="3">
        <v>36184</v>
      </c>
      <c r="K680" s="3">
        <v>398024</v>
      </c>
      <c r="L680" s="3">
        <v>270630</v>
      </c>
      <c r="M680" s="3">
        <v>127394</v>
      </c>
      <c r="N680" s="4">
        <v>12</v>
      </c>
    </row>
    <row r="681" spans="1:14" x14ac:dyDescent="0.25">
      <c r="A681" s="2">
        <v>3</v>
      </c>
      <c r="B681" s="1" t="s">
        <v>57</v>
      </c>
      <c r="C681" s="1" t="s">
        <v>58</v>
      </c>
      <c r="D681" s="1" t="s">
        <v>60</v>
      </c>
      <c r="E681" s="11" t="s">
        <v>50</v>
      </c>
      <c r="F681" s="12">
        <v>45931</v>
      </c>
      <c r="G681" s="1" t="s">
        <v>37</v>
      </c>
      <c r="H681" s="1" t="s">
        <v>41</v>
      </c>
      <c r="I681" s="2">
        <v>1</v>
      </c>
      <c r="J681" s="3">
        <v>79792</v>
      </c>
      <c r="K681" s="3">
        <v>79792</v>
      </c>
      <c r="L681" s="3">
        <v>47178</v>
      </c>
      <c r="M681" s="3">
        <v>32614</v>
      </c>
      <c r="N681" s="4">
        <v>3</v>
      </c>
    </row>
    <row r="682" spans="1:14" x14ac:dyDescent="0.25">
      <c r="A682" s="2">
        <v>3</v>
      </c>
      <c r="B682" s="1" t="s">
        <v>57</v>
      </c>
      <c r="C682" s="1" t="s">
        <v>58</v>
      </c>
      <c r="D682" s="1" t="s">
        <v>59</v>
      </c>
      <c r="E682" s="11" t="s">
        <v>51</v>
      </c>
      <c r="F682" s="12">
        <v>45962</v>
      </c>
      <c r="G682" s="1" t="s">
        <v>16</v>
      </c>
      <c r="H682" s="1" t="s">
        <v>17</v>
      </c>
      <c r="I682" s="2">
        <v>16</v>
      </c>
      <c r="J682" s="3">
        <v>148046</v>
      </c>
      <c r="K682" s="3">
        <v>2368736</v>
      </c>
      <c r="L682" s="3">
        <v>1031586</v>
      </c>
      <c r="M682" s="3">
        <v>1337150</v>
      </c>
      <c r="N682" s="4">
        <v>5</v>
      </c>
    </row>
    <row r="683" spans="1:14" x14ac:dyDescent="0.25">
      <c r="A683" s="2">
        <v>3</v>
      </c>
      <c r="B683" s="1" t="s">
        <v>57</v>
      </c>
      <c r="C683" s="1" t="s">
        <v>58</v>
      </c>
      <c r="D683" s="1" t="s">
        <v>59</v>
      </c>
      <c r="E683" s="11" t="s">
        <v>51</v>
      </c>
      <c r="F683" s="12">
        <v>45962</v>
      </c>
      <c r="G683" s="1" t="s">
        <v>16</v>
      </c>
      <c r="H683" s="1" t="s">
        <v>19</v>
      </c>
      <c r="I683" s="2">
        <v>15</v>
      </c>
      <c r="J683" s="3">
        <v>104045</v>
      </c>
      <c r="K683" s="3">
        <v>1560675</v>
      </c>
      <c r="L683" s="3">
        <v>974120</v>
      </c>
      <c r="M683" s="3">
        <v>586555</v>
      </c>
      <c r="N683" s="4">
        <v>6</v>
      </c>
    </row>
    <row r="684" spans="1:14" x14ac:dyDescent="0.25">
      <c r="A684" s="2">
        <v>3</v>
      </c>
      <c r="B684" s="1" t="s">
        <v>57</v>
      </c>
      <c r="C684" s="1" t="s">
        <v>58</v>
      </c>
      <c r="D684" s="1" t="s">
        <v>60</v>
      </c>
      <c r="E684" s="11" t="s">
        <v>51</v>
      </c>
      <c r="F684" s="12">
        <v>45962</v>
      </c>
      <c r="G684" s="1" t="s">
        <v>16</v>
      </c>
      <c r="H684" s="1" t="s">
        <v>20</v>
      </c>
      <c r="I684" s="2">
        <v>9</v>
      </c>
      <c r="J684" s="3">
        <v>131193</v>
      </c>
      <c r="K684" s="3">
        <v>1180737</v>
      </c>
      <c r="L684" s="3">
        <v>680495</v>
      </c>
      <c r="M684" s="3">
        <v>500242</v>
      </c>
      <c r="N684" s="4">
        <v>8</v>
      </c>
    </row>
    <row r="685" spans="1:14" x14ac:dyDescent="0.25">
      <c r="A685" s="2">
        <v>3</v>
      </c>
      <c r="B685" s="1" t="s">
        <v>57</v>
      </c>
      <c r="C685" s="1" t="s">
        <v>58</v>
      </c>
      <c r="D685" s="1" t="s">
        <v>60</v>
      </c>
      <c r="E685" s="11" t="s">
        <v>51</v>
      </c>
      <c r="F685" s="12">
        <v>45962</v>
      </c>
      <c r="G685" s="1" t="s">
        <v>16</v>
      </c>
      <c r="H685" s="1" t="s">
        <v>21</v>
      </c>
      <c r="I685" s="2">
        <v>10</v>
      </c>
      <c r="J685" s="3">
        <v>54865</v>
      </c>
      <c r="K685" s="3">
        <v>548650</v>
      </c>
      <c r="L685" s="3">
        <v>246666</v>
      </c>
      <c r="M685" s="3">
        <v>301984</v>
      </c>
      <c r="N685" s="4">
        <v>10</v>
      </c>
    </row>
    <row r="686" spans="1:14" x14ac:dyDescent="0.25">
      <c r="A686" s="2">
        <v>3</v>
      </c>
      <c r="B686" s="1" t="s">
        <v>57</v>
      </c>
      <c r="C686" s="1" t="s">
        <v>58</v>
      </c>
      <c r="D686" s="1" t="s">
        <v>59</v>
      </c>
      <c r="E686" s="11" t="s">
        <v>51</v>
      </c>
      <c r="F686" s="12">
        <v>45962</v>
      </c>
      <c r="G686" s="1" t="s">
        <v>22</v>
      </c>
      <c r="H686" s="1" t="s">
        <v>23</v>
      </c>
      <c r="I686" s="2">
        <v>17</v>
      </c>
      <c r="J686" s="3">
        <v>128381</v>
      </c>
      <c r="K686" s="3">
        <v>2182477</v>
      </c>
      <c r="L686" s="3">
        <v>1417538</v>
      </c>
      <c r="M686" s="3">
        <v>764939</v>
      </c>
      <c r="N686" s="4">
        <v>12</v>
      </c>
    </row>
    <row r="687" spans="1:14" x14ac:dyDescent="0.25">
      <c r="A687" s="2">
        <v>3</v>
      </c>
      <c r="B687" s="1" t="s">
        <v>57</v>
      </c>
      <c r="C687" s="1" t="s">
        <v>58</v>
      </c>
      <c r="D687" s="1" t="s">
        <v>59</v>
      </c>
      <c r="E687" s="11" t="s">
        <v>51</v>
      </c>
      <c r="F687" s="12">
        <v>45962</v>
      </c>
      <c r="G687" s="1" t="s">
        <v>22</v>
      </c>
      <c r="H687" s="1" t="s">
        <v>24</v>
      </c>
      <c r="I687" s="2">
        <v>6</v>
      </c>
      <c r="J687" s="3">
        <v>73072</v>
      </c>
      <c r="K687" s="3">
        <v>438432</v>
      </c>
      <c r="L687" s="3">
        <v>297644</v>
      </c>
      <c r="M687" s="3">
        <v>140788</v>
      </c>
      <c r="N687" s="4">
        <v>2</v>
      </c>
    </row>
    <row r="688" spans="1:14" x14ac:dyDescent="0.25">
      <c r="A688" s="2">
        <v>3</v>
      </c>
      <c r="B688" s="1" t="s">
        <v>57</v>
      </c>
      <c r="C688" s="1" t="s">
        <v>58</v>
      </c>
      <c r="D688" s="1" t="s">
        <v>60</v>
      </c>
      <c r="E688" s="11" t="s">
        <v>51</v>
      </c>
      <c r="F688" s="12">
        <v>45962</v>
      </c>
      <c r="G688" s="1" t="s">
        <v>22</v>
      </c>
      <c r="H688" s="1" t="s">
        <v>25</v>
      </c>
      <c r="I688" s="2">
        <v>19</v>
      </c>
      <c r="J688" s="3">
        <v>103369</v>
      </c>
      <c r="K688" s="3">
        <v>1964011</v>
      </c>
      <c r="L688" s="3">
        <v>1288034</v>
      </c>
      <c r="M688" s="3">
        <v>675977</v>
      </c>
      <c r="N688" s="4">
        <v>9</v>
      </c>
    </row>
    <row r="689" spans="1:14" x14ac:dyDescent="0.25">
      <c r="A689" s="2">
        <v>3</v>
      </c>
      <c r="B689" s="1" t="s">
        <v>57</v>
      </c>
      <c r="C689" s="1" t="s">
        <v>58</v>
      </c>
      <c r="D689" s="1" t="s">
        <v>59</v>
      </c>
      <c r="E689" s="11" t="s">
        <v>51</v>
      </c>
      <c r="F689" s="12">
        <v>45962</v>
      </c>
      <c r="G689" s="1" t="s">
        <v>22</v>
      </c>
      <c r="H689" s="1" t="s">
        <v>26</v>
      </c>
      <c r="I689" s="2">
        <v>19</v>
      </c>
      <c r="J689" s="3">
        <v>114788</v>
      </c>
      <c r="K689" s="3">
        <v>2180972</v>
      </c>
      <c r="L689" s="3">
        <v>1423258</v>
      </c>
      <c r="M689" s="3">
        <v>757714</v>
      </c>
      <c r="N689" s="4">
        <v>4</v>
      </c>
    </row>
    <row r="690" spans="1:14" x14ac:dyDescent="0.25">
      <c r="A690" s="2">
        <v>3</v>
      </c>
      <c r="B690" s="1" t="s">
        <v>57</v>
      </c>
      <c r="C690" s="1" t="s">
        <v>58</v>
      </c>
      <c r="D690" s="1" t="s">
        <v>60</v>
      </c>
      <c r="E690" s="11" t="s">
        <v>51</v>
      </c>
      <c r="F690" s="12">
        <v>45962</v>
      </c>
      <c r="G690" s="1" t="s">
        <v>27</v>
      </c>
      <c r="H690" s="1" t="s">
        <v>28</v>
      </c>
      <c r="I690" s="2">
        <v>17</v>
      </c>
      <c r="J690" s="3">
        <v>149940</v>
      </c>
      <c r="K690" s="3">
        <v>2548980</v>
      </c>
      <c r="L690" s="3">
        <v>1369964</v>
      </c>
      <c r="M690" s="3">
        <v>1179016</v>
      </c>
      <c r="N690" s="4">
        <v>4</v>
      </c>
    </row>
    <row r="691" spans="1:14" x14ac:dyDescent="0.25">
      <c r="A691" s="2">
        <v>3</v>
      </c>
      <c r="B691" s="1" t="s">
        <v>57</v>
      </c>
      <c r="C691" s="1" t="s">
        <v>58</v>
      </c>
      <c r="D691" s="1" t="s">
        <v>60</v>
      </c>
      <c r="E691" s="11" t="s">
        <v>51</v>
      </c>
      <c r="F691" s="12">
        <v>45962</v>
      </c>
      <c r="G691" s="1" t="s">
        <v>27</v>
      </c>
      <c r="H691" s="1" t="s">
        <v>29</v>
      </c>
      <c r="I691" s="2">
        <v>4</v>
      </c>
      <c r="J691" s="3">
        <v>134245</v>
      </c>
      <c r="K691" s="3">
        <v>536980</v>
      </c>
      <c r="L691" s="3">
        <v>316469</v>
      </c>
      <c r="M691" s="3">
        <v>220511</v>
      </c>
      <c r="N691" s="4">
        <v>13</v>
      </c>
    </row>
    <row r="692" spans="1:14" x14ac:dyDescent="0.25">
      <c r="A692" s="2">
        <v>3</v>
      </c>
      <c r="B692" s="1" t="s">
        <v>57</v>
      </c>
      <c r="C692" s="1" t="s">
        <v>58</v>
      </c>
      <c r="D692" s="1" t="s">
        <v>60</v>
      </c>
      <c r="E692" s="11" t="s">
        <v>51</v>
      </c>
      <c r="F692" s="12">
        <v>45962</v>
      </c>
      <c r="G692" s="1" t="s">
        <v>27</v>
      </c>
      <c r="H692" s="1" t="s">
        <v>30</v>
      </c>
      <c r="I692" s="2">
        <v>7</v>
      </c>
      <c r="J692" s="3">
        <v>76614</v>
      </c>
      <c r="K692" s="3">
        <v>536298</v>
      </c>
      <c r="L692" s="3">
        <v>294394</v>
      </c>
      <c r="M692" s="3">
        <v>241904</v>
      </c>
      <c r="N692" s="4">
        <v>0</v>
      </c>
    </row>
    <row r="693" spans="1:14" x14ac:dyDescent="0.25">
      <c r="A693" s="2">
        <v>3</v>
      </c>
      <c r="B693" s="1" t="s">
        <v>57</v>
      </c>
      <c r="C693" s="1" t="s">
        <v>58</v>
      </c>
      <c r="D693" s="1" t="s">
        <v>59</v>
      </c>
      <c r="E693" s="11" t="s">
        <v>51</v>
      </c>
      <c r="F693" s="12">
        <v>45962</v>
      </c>
      <c r="G693" s="1" t="s">
        <v>27</v>
      </c>
      <c r="H693" s="1" t="s">
        <v>31</v>
      </c>
      <c r="I693" s="2">
        <v>4</v>
      </c>
      <c r="J693" s="3">
        <v>62821</v>
      </c>
      <c r="K693" s="3">
        <v>251284</v>
      </c>
      <c r="L693" s="3">
        <v>104831</v>
      </c>
      <c r="M693" s="3">
        <v>146453</v>
      </c>
      <c r="N693" s="4">
        <v>13</v>
      </c>
    </row>
    <row r="694" spans="1:14" x14ac:dyDescent="0.25">
      <c r="A694" s="2">
        <v>3</v>
      </c>
      <c r="B694" s="1" t="s">
        <v>57</v>
      </c>
      <c r="C694" s="1" t="s">
        <v>58</v>
      </c>
      <c r="D694" s="1" t="s">
        <v>60</v>
      </c>
      <c r="E694" s="11" t="s">
        <v>51</v>
      </c>
      <c r="F694" s="12">
        <v>45962</v>
      </c>
      <c r="G694" s="1" t="s">
        <v>32</v>
      </c>
      <c r="H694" s="1" t="s">
        <v>33</v>
      </c>
      <c r="I694" s="2">
        <v>12</v>
      </c>
      <c r="J694" s="3">
        <v>9283</v>
      </c>
      <c r="K694" s="3">
        <v>111396</v>
      </c>
      <c r="L694" s="3">
        <v>57887</v>
      </c>
      <c r="M694" s="3">
        <v>53509</v>
      </c>
      <c r="N694" s="4">
        <v>3</v>
      </c>
    </row>
    <row r="695" spans="1:14" x14ac:dyDescent="0.25">
      <c r="A695" s="2">
        <v>3</v>
      </c>
      <c r="B695" s="1" t="s">
        <v>57</v>
      </c>
      <c r="C695" s="1" t="s">
        <v>58</v>
      </c>
      <c r="D695" s="1" t="s">
        <v>59</v>
      </c>
      <c r="E695" s="11" t="s">
        <v>51</v>
      </c>
      <c r="F695" s="12">
        <v>45962</v>
      </c>
      <c r="G695" s="1" t="s">
        <v>32</v>
      </c>
      <c r="H695" s="1" t="s">
        <v>34</v>
      </c>
      <c r="I695" s="2">
        <v>4</v>
      </c>
      <c r="J695" s="3">
        <v>11868</v>
      </c>
      <c r="K695" s="3">
        <v>47472</v>
      </c>
      <c r="L695" s="3">
        <v>19970</v>
      </c>
      <c r="M695" s="3">
        <v>27502</v>
      </c>
      <c r="N695" s="4">
        <v>11</v>
      </c>
    </row>
    <row r="696" spans="1:14" x14ac:dyDescent="0.25">
      <c r="A696" s="2">
        <v>3</v>
      </c>
      <c r="B696" s="1" t="s">
        <v>57</v>
      </c>
      <c r="C696" s="1" t="s">
        <v>58</v>
      </c>
      <c r="D696" s="1" t="s">
        <v>60</v>
      </c>
      <c r="E696" s="11" t="s">
        <v>51</v>
      </c>
      <c r="F696" s="12">
        <v>45962</v>
      </c>
      <c r="G696" s="1" t="s">
        <v>32</v>
      </c>
      <c r="H696" s="1" t="s">
        <v>35</v>
      </c>
      <c r="I696" s="2">
        <v>10</v>
      </c>
      <c r="J696" s="3">
        <v>15653</v>
      </c>
      <c r="K696" s="3">
        <v>156530</v>
      </c>
      <c r="L696" s="3">
        <v>64316</v>
      </c>
      <c r="M696" s="3">
        <v>92214</v>
      </c>
      <c r="N696" s="4">
        <v>6</v>
      </c>
    </row>
    <row r="697" spans="1:14" x14ac:dyDescent="0.25">
      <c r="A697" s="2">
        <v>3</v>
      </c>
      <c r="B697" s="1" t="s">
        <v>57</v>
      </c>
      <c r="C697" s="1" t="s">
        <v>58</v>
      </c>
      <c r="D697" s="1" t="s">
        <v>59</v>
      </c>
      <c r="E697" s="11" t="s">
        <v>51</v>
      </c>
      <c r="F697" s="12">
        <v>45962</v>
      </c>
      <c r="G697" s="1" t="s">
        <v>32</v>
      </c>
      <c r="H697" s="1" t="s">
        <v>36</v>
      </c>
      <c r="I697" s="2">
        <v>3</v>
      </c>
      <c r="J697" s="3">
        <v>6974</v>
      </c>
      <c r="K697" s="3">
        <v>20922</v>
      </c>
      <c r="L697" s="3">
        <v>14056</v>
      </c>
      <c r="M697" s="3">
        <v>6866</v>
      </c>
      <c r="N697" s="4">
        <v>7</v>
      </c>
    </row>
    <row r="698" spans="1:14" x14ac:dyDescent="0.25">
      <c r="A698" s="2">
        <v>3</v>
      </c>
      <c r="B698" s="1" t="s">
        <v>57</v>
      </c>
      <c r="C698" s="1" t="s">
        <v>58</v>
      </c>
      <c r="D698" s="1" t="s">
        <v>60</v>
      </c>
      <c r="E698" s="11" t="s">
        <v>51</v>
      </c>
      <c r="F698" s="12">
        <v>45962</v>
      </c>
      <c r="G698" s="1" t="s">
        <v>37</v>
      </c>
      <c r="H698" s="1" t="s">
        <v>38</v>
      </c>
      <c r="I698" s="2">
        <v>10</v>
      </c>
      <c r="J698" s="3">
        <v>52591</v>
      </c>
      <c r="K698" s="3">
        <v>525910</v>
      </c>
      <c r="L698" s="3">
        <v>268930</v>
      </c>
      <c r="M698" s="3">
        <v>256980</v>
      </c>
      <c r="N698" s="4">
        <v>14</v>
      </c>
    </row>
    <row r="699" spans="1:14" x14ac:dyDescent="0.25">
      <c r="A699" s="2">
        <v>3</v>
      </c>
      <c r="B699" s="1" t="s">
        <v>57</v>
      </c>
      <c r="C699" s="1" t="s">
        <v>58</v>
      </c>
      <c r="D699" s="1" t="s">
        <v>60</v>
      </c>
      <c r="E699" s="11" t="s">
        <v>51</v>
      </c>
      <c r="F699" s="12">
        <v>45962</v>
      </c>
      <c r="G699" s="1" t="s">
        <v>37</v>
      </c>
      <c r="H699" s="1" t="s">
        <v>39</v>
      </c>
      <c r="I699" s="2">
        <v>10</v>
      </c>
      <c r="J699" s="3">
        <v>27896</v>
      </c>
      <c r="K699" s="3">
        <v>278960</v>
      </c>
      <c r="L699" s="3">
        <v>176585</v>
      </c>
      <c r="M699" s="3">
        <v>102375</v>
      </c>
      <c r="N699" s="4">
        <v>11</v>
      </c>
    </row>
    <row r="700" spans="1:14" x14ac:dyDescent="0.25">
      <c r="A700" s="2">
        <v>3</v>
      </c>
      <c r="B700" s="1" t="s">
        <v>57</v>
      </c>
      <c r="C700" s="1" t="s">
        <v>58</v>
      </c>
      <c r="D700" s="1" t="s">
        <v>59</v>
      </c>
      <c r="E700" s="11" t="s">
        <v>51</v>
      </c>
      <c r="F700" s="12">
        <v>45962</v>
      </c>
      <c r="G700" s="1" t="s">
        <v>37</v>
      </c>
      <c r="H700" s="1" t="s">
        <v>40</v>
      </c>
      <c r="I700" s="2">
        <v>9</v>
      </c>
      <c r="J700" s="3">
        <v>116044</v>
      </c>
      <c r="K700" s="3">
        <v>1044396</v>
      </c>
      <c r="L700" s="3">
        <v>685047</v>
      </c>
      <c r="M700" s="3">
        <v>359349</v>
      </c>
      <c r="N700" s="4">
        <v>10</v>
      </c>
    </row>
    <row r="701" spans="1:14" x14ac:dyDescent="0.25">
      <c r="A701" s="2">
        <v>3</v>
      </c>
      <c r="B701" s="1" t="s">
        <v>57</v>
      </c>
      <c r="C701" s="1" t="s">
        <v>58</v>
      </c>
      <c r="D701" s="1" t="s">
        <v>60</v>
      </c>
      <c r="E701" s="11" t="s">
        <v>51</v>
      </c>
      <c r="F701" s="12">
        <v>45962</v>
      </c>
      <c r="G701" s="1" t="s">
        <v>37</v>
      </c>
      <c r="H701" s="1" t="s">
        <v>41</v>
      </c>
      <c r="I701" s="2">
        <v>18</v>
      </c>
      <c r="J701" s="3">
        <v>38681</v>
      </c>
      <c r="K701" s="3">
        <v>696258</v>
      </c>
      <c r="L701" s="3">
        <v>395890</v>
      </c>
      <c r="M701" s="3">
        <v>300368</v>
      </c>
      <c r="N701" s="4">
        <v>4</v>
      </c>
    </row>
    <row r="702" spans="1:14" x14ac:dyDescent="0.25">
      <c r="A702" s="2">
        <v>3</v>
      </c>
      <c r="B702" s="1" t="s">
        <v>57</v>
      </c>
      <c r="C702" s="1" t="s">
        <v>58</v>
      </c>
      <c r="D702" s="1" t="s">
        <v>60</v>
      </c>
      <c r="E702" s="11" t="s">
        <v>52</v>
      </c>
      <c r="F702" s="12">
        <v>45992</v>
      </c>
      <c r="G702" s="1" t="s">
        <v>16</v>
      </c>
      <c r="H702" s="1" t="s">
        <v>17</v>
      </c>
      <c r="I702" s="2">
        <v>4</v>
      </c>
      <c r="J702" s="3">
        <v>37073</v>
      </c>
      <c r="K702" s="3">
        <v>148292</v>
      </c>
      <c r="L702" s="3">
        <v>77605</v>
      </c>
      <c r="M702" s="3">
        <v>70687</v>
      </c>
      <c r="N702" s="4">
        <v>6</v>
      </c>
    </row>
    <row r="703" spans="1:14" x14ac:dyDescent="0.25">
      <c r="A703" s="2">
        <v>3</v>
      </c>
      <c r="B703" s="1" t="s">
        <v>57</v>
      </c>
      <c r="C703" s="1" t="s">
        <v>58</v>
      </c>
      <c r="D703" s="1" t="s">
        <v>60</v>
      </c>
      <c r="E703" s="11" t="s">
        <v>52</v>
      </c>
      <c r="F703" s="12">
        <v>45992</v>
      </c>
      <c r="G703" s="1" t="s">
        <v>16</v>
      </c>
      <c r="H703" s="1" t="s">
        <v>19</v>
      </c>
      <c r="I703" s="2">
        <v>6</v>
      </c>
      <c r="J703" s="3">
        <v>116894</v>
      </c>
      <c r="K703" s="3">
        <v>701364</v>
      </c>
      <c r="L703" s="3">
        <v>330367</v>
      </c>
      <c r="M703" s="3">
        <v>370997</v>
      </c>
      <c r="N703" s="4">
        <v>7</v>
      </c>
    </row>
    <row r="704" spans="1:14" x14ac:dyDescent="0.25">
      <c r="A704" s="2">
        <v>3</v>
      </c>
      <c r="B704" s="1" t="s">
        <v>57</v>
      </c>
      <c r="C704" s="1" t="s">
        <v>58</v>
      </c>
      <c r="D704" s="1" t="s">
        <v>59</v>
      </c>
      <c r="E704" s="11" t="s">
        <v>52</v>
      </c>
      <c r="F704" s="12">
        <v>45992</v>
      </c>
      <c r="G704" s="1" t="s">
        <v>16</v>
      </c>
      <c r="H704" s="1" t="s">
        <v>20</v>
      </c>
      <c r="I704" s="2">
        <v>11</v>
      </c>
      <c r="J704" s="3">
        <v>86707</v>
      </c>
      <c r="K704" s="3">
        <v>953777</v>
      </c>
      <c r="L704" s="3">
        <v>418132</v>
      </c>
      <c r="M704" s="3">
        <v>535645</v>
      </c>
      <c r="N704" s="4">
        <v>6</v>
      </c>
    </row>
    <row r="705" spans="1:14" x14ac:dyDescent="0.25">
      <c r="A705" s="2">
        <v>3</v>
      </c>
      <c r="B705" s="1" t="s">
        <v>57</v>
      </c>
      <c r="C705" s="1" t="s">
        <v>58</v>
      </c>
      <c r="D705" s="1" t="s">
        <v>60</v>
      </c>
      <c r="E705" s="11" t="s">
        <v>52</v>
      </c>
      <c r="F705" s="12">
        <v>45992</v>
      </c>
      <c r="G705" s="1" t="s">
        <v>16</v>
      </c>
      <c r="H705" s="1" t="s">
        <v>21</v>
      </c>
      <c r="I705" s="2">
        <v>10</v>
      </c>
      <c r="J705" s="3">
        <v>97465</v>
      </c>
      <c r="K705" s="3">
        <v>974650</v>
      </c>
      <c r="L705" s="3">
        <v>512313</v>
      </c>
      <c r="M705" s="3">
        <v>462337</v>
      </c>
      <c r="N705" s="4">
        <v>13</v>
      </c>
    </row>
    <row r="706" spans="1:14" x14ac:dyDescent="0.25">
      <c r="A706" s="2">
        <v>3</v>
      </c>
      <c r="B706" s="1" t="s">
        <v>57</v>
      </c>
      <c r="C706" s="1" t="s">
        <v>58</v>
      </c>
      <c r="D706" s="1" t="s">
        <v>60</v>
      </c>
      <c r="E706" s="11" t="s">
        <v>52</v>
      </c>
      <c r="F706" s="12">
        <v>45992</v>
      </c>
      <c r="G706" s="1" t="s">
        <v>22</v>
      </c>
      <c r="H706" s="1" t="s">
        <v>23</v>
      </c>
      <c r="I706" s="2">
        <v>5</v>
      </c>
      <c r="J706" s="3">
        <v>38745</v>
      </c>
      <c r="K706" s="3">
        <v>193725</v>
      </c>
      <c r="L706" s="3">
        <v>134419</v>
      </c>
      <c r="M706" s="3">
        <v>59306</v>
      </c>
      <c r="N706" s="4">
        <v>4</v>
      </c>
    </row>
    <row r="707" spans="1:14" x14ac:dyDescent="0.25">
      <c r="A707" s="2">
        <v>3</v>
      </c>
      <c r="B707" s="1" t="s">
        <v>57</v>
      </c>
      <c r="C707" s="1" t="s">
        <v>58</v>
      </c>
      <c r="D707" s="1" t="s">
        <v>59</v>
      </c>
      <c r="E707" s="11" t="s">
        <v>52</v>
      </c>
      <c r="F707" s="12">
        <v>45992</v>
      </c>
      <c r="G707" s="1" t="s">
        <v>22</v>
      </c>
      <c r="H707" s="1" t="s">
        <v>24</v>
      </c>
      <c r="I707" s="2">
        <v>3</v>
      </c>
      <c r="J707" s="3">
        <v>138358</v>
      </c>
      <c r="K707" s="3">
        <v>415074</v>
      </c>
      <c r="L707" s="3">
        <v>190697</v>
      </c>
      <c r="M707" s="3">
        <v>224377</v>
      </c>
      <c r="N707" s="4">
        <v>7</v>
      </c>
    </row>
    <row r="708" spans="1:14" x14ac:dyDescent="0.25">
      <c r="A708" s="2">
        <v>3</v>
      </c>
      <c r="B708" s="1" t="s">
        <v>57</v>
      </c>
      <c r="C708" s="1" t="s">
        <v>58</v>
      </c>
      <c r="D708" s="1" t="s">
        <v>60</v>
      </c>
      <c r="E708" s="11" t="s">
        <v>52</v>
      </c>
      <c r="F708" s="12">
        <v>45992</v>
      </c>
      <c r="G708" s="1" t="s">
        <v>22</v>
      </c>
      <c r="H708" s="1" t="s">
        <v>25</v>
      </c>
      <c r="I708" s="2">
        <v>17</v>
      </c>
      <c r="J708" s="3">
        <v>38322</v>
      </c>
      <c r="K708" s="3">
        <v>651474</v>
      </c>
      <c r="L708" s="3">
        <v>320922</v>
      </c>
      <c r="M708" s="3">
        <v>330552</v>
      </c>
      <c r="N708" s="4">
        <v>4</v>
      </c>
    </row>
    <row r="709" spans="1:14" x14ac:dyDescent="0.25">
      <c r="A709" s="2">
        <v>3</v>
      </c>
      <c r="B709" s="1" t="s">
        <v>57</v>
      </c>
      <c r="C709" s="1" t="s">
        <v>58</v>
      </c>
      <c r="D709" s="1" t="s">
        <v>59</v>
      </c>
      <c r="E709" s="11" t="s">
        <v>52</v>
      </c>
      <c r="F709" s="12">
        <v>45992</v>
      </c>
      <c r="G709" s="1" t="s">
        <v>22</v>
      </c>
      <c r="H709" s="1" t="s">
        <v>26</v>
      </c>
      <c r="I709" s="2">
        <v>12</v>
      </c>
      <c r="J709" s="3">
        <v>101912</v>
      </c>
      <c r="K709" s="3">
        <v>1222944</v>
      </c>
      <c r="L709" s="3">
        <v>556322</v>
      </c>
      <c r="M709" s="3">
        <v>666622</v>
      </c>
      <c r="N709" s="4">
        <v>0</v>
      </c>
    </row>
    <row r="710" spans="1:14" x14ac:dyDescent="0.25">
      <c r="A710" s="2">
        <v>3</v>
      </c>
      <c r="B710" s="1" t="s">
        <v>57</v>
      </c>
      <c r="C710" s="1" t="s">
        <v>58</v>
      </c>
      <c r="D710" s="1" t="s">
        <v>59</v>
      </c>
      <c r="E710" s="11" t="s">
        <v>52</v>
      </c>
      <c r="F710" s="12">
        <v>45992</v>
      </c>
      <c r="G710" s="1" t="s">
        <v>27</v>
      </c>
      <c r="H710" s="1" t="s">
        <v>28</v>
      </c>
      <c r="I710" s="2">
        <v>18</v>
      </c>
      <c r="J710" s="3">
        <v>49300</v>
      </c>
      <c r="K710" s="3">
        <v>887400</v>
      </c>
      <c r="L710" s="3">
        <v>414943</v>
      </c>
      <c r="M710" s="3">
        <v>472457</v>
      </c>
      <c r="N710" s="4">
        <v>9</v>
      </c>
    </row>
    <row r="711" spans="1:14" x14ac:dyDescent="0.25">
      <c r="A711" s="2">
        <v>3</v>
      </c>
      <c r="B711" s="1" t="s">
        <v>57</v>
      </c>
      <c r="C711" s="1" t="s">
        <v>58</v>
      </c>
      <c r="D711" s="1" t="s">
        <v>59</v>
      </c>
      <c r="E711" s="11" t="s">
        <v>52</v>
      </c>
      <c r="F711" s="12">
        <v>45992</v>
      </c>
      <c r="G711" s="1" t="s">
        <v>27</v>
      </c>
      <c r="H711" s="1" t="s">
        <v>29</v>
      </c>
      <c r="I711" s="2">
        <v>7</v>
      </c>
      <c r="J711" s="3">
        <v>53365</v>
      </c>
      <c r="K711" s="3">
        <v>373555</v>
      </c>
      <c r="L711" s="3">
        <v>212316</v>
      </c>
      <c r="M711" s="3">
        <v>161239</v>
      </c>
      <c r="N711" s="4">
        <v>0</v>
      </c>
    </row>
    <row r="712" spans="1:14" x14ac:dyDescent="0.25">
      <c r="A712" s="2">
        <v>3</v>
      </c>
      <c r="B712" s="1" t="s">
        <v>57</v>
      </c>
      <c r="C712" s="1" t="s">
        <v>58</v>
      </c>
      <c r="D712" s="1" t="s">
        <v>59</v>
      </c>
      <c r="E712" s="11" t="s">
        <v>52</v>
      </c>
      <c r="F712" s="12">
        <v>45992</v>
      </c>
      <c r="G712" s="1" t="s">
        <v>27</v>
      </c>
      <c r="H712" s="1" t="s">
        <v>30</v>
      </c>
      <c r="I712" s="2">
        <v>2</v>
      </c>
      <c r="J712" s="3">
        <v>91707</v>
      </c>
      <c r="K712" s="3">
        <v>183414</v>
      </c>
      <c r="L712" s="3">
        <v>113137</v>
      </c>
      <c r="M712" s="3">
        <v>70277</v>
      </c>
      <c r="N712" s="4">
        <v>8</v>
      </c>
    </row>
    <row r="713" spans="1:14" x14ac:dyDescent="0.25">
      <c r="A713" s="2">
        <v>3</v>
      </c>
      <c r="B713" s="1" t="s">
        <v>57</v>
      </c>
      <c r="C713" s="1" t="s">
        <v>58</v>
      </c>
      <c r="D713" s="1" t="s">
        <v>59</v>
      </c>
      <c r="E713" s="11" t="s">
        <v>52</v>
      </c>
      <c r="F713" s="12">
        <v>45992</v>
      </c>
      <c r="G713" s="1" t="s">
        <v>27</v>
      </c>
      <c r="H713" s="1" t="s">
        <v>31</v>
      </c>
      <c r="I713" s="2">
        <v>7</v>
      </c>
      <c r="J713" s="3">
        <v>64629</v>
      </c>
      <c r="K713" s="3">
        <v>452403</v>
      </c>
      <c r="L713" s="3">
        <v>255450</v>
      </c>
      <c r="M713" s="3">
        <v>196953</v>
      </c>
      <c r="N713" s="4">
        <v>1</v>
      </c>
    </row>
    <row r="714" spans="1:14" x14ac:dyDescent="0.25">
      <c r="A714" s="2">
        <v>3</v>
      </c>
      <c r="B714" s="1" t="s">
        <v>57</v>
      </c>
      <c r="C714" s="1" t="s">
        <v>58</v>
      </c>
      <c r="D714" s="1" t="s">
        <v>60</v>
      </c>
      <c r="E714" s="11" t="s">
        <v>52</v>
      </c>
      <c r="F714" s="12">
        <v>45992</v>
      </c>
      <c r="G714" s="1" t="s">
        <v>32</v>
      </c>
      <c r="H714" s="1" t="s">
        <v>33</v>
      </c>
      <c r="I714" s="2">
        <v>6</v>
      </c>
      <c r="J714" s="3">
        <v>6517</v>
      </c>
      <c r="K714" s="3">
        <v>39102</v>
      </c>
      <c r="L714" s="3">
        <v>21016</v>
      </c>
      <c r="M714" s="3">
        <v>18086</v>
      </c>
      <c r="N714" s="4">
        <v>0</v>
      </c>
    </row>
    <row r="715" spans="1:14" x14ac:dyDescent="0.25">
      <c r="A715" s="2">
        <v>3</v>
      </c>
      <c r="B715" s="1" t="s">
        <v>57</v>
      </c>
      <c r="C715" s="1" t="s">
        <v>58</v>
      </c>
      <c r="D715" s="1" t="s">
        <v>59</v>
      </c>
      <c r="E715" s="11" t="s">
        <v>52</v>
      </c>
      <c r="F715" s="12">
        <v>45992</v>
      </c>
      <c r="G715" s="1" t="s">
        <v>32</v>
      </c>
      <c r="H715" s="1" t="s">
        <v>34</v>
      </c>
      <c r="I715" s="2">
        <v>10</v>
      </c>
      <c r="J715" s="3">
        <v>18140</v>
      </c>
      <c r="K715" s="3">
        <v>181400</v>
      </c>
      <c r="L715" s="3">
        <v>80231</v>
      </c>
      <c r="M715" s="3">
        <v>101169</v>
      </c>
      <c r="N715" s="4">
        <v>5</v>
      </c>
    </row>
    <row r="716" spans="1:14" x14ac:dyDescent="0.25">
      <c r="A716" s="2">
        <v>3</v>
      </c>
      <c r="B716" s="1" t="s">
        <v>57</v>
      </c>
      <c r="C716" s="1" t="s">
        <v>58</v>
      </c>
      <c r="D716" s="1" t="s">
        <v>60</v>
      </c>
      <c r="E716" s="11" t="s">
        <v>52</v>
      </c>
      <c r="F716" s="12">
        <v>45992</v>
      </c>
      <c r="G716" s="1" t="s">
        <v>32</v>
      </c>
      <c r="H716" s="1" t="s">
        <v>35</v>
      </c>
      <c r="I716" s="2">
        <v>16</v>
      </c>
      <c r="J716" s="3">
        <v>18368</v>
      </c>
      <c r="K716" s="3">
        <v>293888</v>
      </c>
      <c r="L716" s="3">
        <v>176540</v>
      </c>
      <c r="M716" s="3">
        <v>117348</v>
      </c>
      <c r="N716" s="4">
        <v>1</v>
      </c>
    </row>
    <row r="717" spans="1:14" x14ac:dyDescent="0.25">
      <c r="A717" s="2">
        <v>3</v>
      </c>
      <c r="B717" s="1" t="s">
        <v>57</v>
      </c>
      <c r="C717" s="1" t="s">
        <v>58</v>
      </c>
      <c r="D717" s="1" t="s">
        <v>59</v>
      </c>
      <c r="E717" s="11" t="s">
        <v>52</v>
      </c>
      <c r="F717" s="12">
        <v>45992</v>
      </c>
      <c r="G717" s="1" t="s">
        <v>32</v>
      </c>
      <c r="H717" s="1" t="s">
        <v>36</v>
      </c>
      <c r="I717" s="2">
        <v>16</v>
      </c>
      <c r="J717" s="3">
        <v>19191</v>
      </c>
      <c r="K717" s="3">
        <v>307056</v>
      </c>
      <c r="L717" s="3">
        <v>165211</v>
      </c>
      <c r="M717" s="3">
        <v>141845</v>
      </c>
      <c r="N717" s="4">
        <v>6</v>
      </c>
    </row>
    <row r="718" spans="1:14" x14ac:dyDescent="0.25">
      <c r="A718" s="2">
        <v>3</v>
      </c>
      <c r="B718" s="1" t="s">
        <v>57</v>
      </c>
      <c r="C718" s="1" t="s">
        <v>58</v>
      </c>
      <c r="D718" s="1" t="s">
        <v>59</v>
      </c>
      <c r="E718" s="11" t="s">
        <v>52</v>
      </c>
      <c r="F718" s="12">
        <v>45992</v>
      </c>
      <c r="G718" s="1" t="s">
        <v>37</v>
      </c>
      <c r="H718" s="1" t="s">
        <v>38</v>
      </c>
      <c r="I718" s="2">
        <v>12</v>
      </c>
      <c r="J718" s="3">
        <v>94071</v>
      </c>
      <c r="K718" s="3">
        <v>1128852</v>
      </c>
      <c r="L718" s="3">
        <v>718052</v>
      </c>
      <c r="M718" s="3">
        <v>410800</v>
      </c>
      <c r="N718" s="4">
        <v>5</v>
      </c>
    </row>
    <row r="719" spans="1:14" x14ac:dyDescent="0.25">
      <c r="A719" s="2">
        <v>3</v>
      </c>
      <c r="B719" s="1" t="s">
        <v>57</v>
      </c>
      <c r="C719" s="1" t="s">
        <v>58</v>
      </c>
      <c r="D719" s="1" t="s">
        <v>60</v>
      </c>
      <c r="E719" s="11" t="s">
        <v>52</v>
      </c>
      <c r="F719" s="12">
        <v>45992</v>
      </c>
      <c r="G719" s="1" t="s">
        <v>37</v>
      </c>
      <c r="H719" s="1" t="s">
        <v>39</v>
      </c>
      <c r="I719" s="2">
        <v>10</v>
      </c>
      <c r="J719" s="3">
        <v>36994</v>
      </c>
      <c r="K719" s="3">
        <v>369940</v>
      </c>
      <c r="L719" s="3">
        <v>153742</v>
      </c>
      <c r="M719" s="3">
        <v>216198</v>
      </c>
      <c r="N719" s="4">
        <v>14</v>
      </c>
    </row>
    <row r="720" spans="1:14" x14ac:dyDescent="0.25">
      <c r="A720" s="2">
        <v>3</v>
      </c>
      <c r="B720" s="1" t="s">
        <v>57</v>
      </c>
      <c r="C720" s="1" t="s">
        <v>58</v>
      </c>
      <c r="D720" s="1" t="s">
        <v>59</v>
      </c>
      <c r="E720" s="11" t="s">
        <v>52</v>
      </c>
      <c r="F720" s="12">
        <v>45992</v>
      </c>
      <c r="G720" s="1" t="s">
        <v>37</v>
      </c>
      <c r="H720" s="1" t="s">
        <v>40</v>
      </c>
      <c r="I720" s="2">
        <v>17</v>
      </c>
      <c r="J720" s="3">
        <v>57823</v>
      </c>
      <c r="K720" s="3">
        <v>982991</v>
      </c>
      <c r="L720" s="3">
        <v>493395</v>
      </c>
      <c r="M720" s="3">
        <v>489596</v>
      </c>
      <c r="N720" s="4">
        <v>4</v>
      </c>
    </row>
    <row r="721" spans="1:14" x14ac:dyDescent="0.25">
      <c r="A721" s="2">
        <v>3</v>
      </c>
      <c r="B721" s="1" t="s">
        <v>57</v>
      </c>
      <c r="C721" s="1" t="s">
        <v>58</v>
      </c>
      <c r="D721" s="1" t="s">
        <v>60</v>
      </c>
      <c r="E721" s="11" t="s">
        <v>52</v>
      </c>
      <c r="F721" s="12">
        <v>45992</v>
      </c>
      <c r="G721" s="1" t="s">
        <v>37</v>
      </c>
      <c r="H721" s="1" t="s">
        <v>41</v>
      </c>
      <c r="I721" s="2">
        <v>4</v>
      </c>
      <c r="J721" s="3">
        <v>50573</v>
      </c>
      <c r="K721" s="3">
        <v>202292</v>
      </c>
      <c r="L721" s="3">
        <v>126681</v>
      </c>
      <c r="M721" s="3">
        <v>75611</v>
      </c>
      <c r="N721" s="4">
        <v>14</v>
      </c>
    </row>
    <row r="722" spans="1:14" x14ac:dyDescent="0.25">
      <c r="A722" s="2">
        <v>4</v>
      </c>
      <c r="B722" s="1" t="s">
        <v>61</v>
      </c>
      <c r="C722" s="1" t="s">
        <v>62</v>
      </c>
      <c r="D722" s="1" t="s">
        <v>63</v>
      </c>
      <c r="E722" s="11" t="s">
        <v>15</v>
      </c>
      <c r="F722" s="12">
        <v>45658</v>
      </c>
      <c r="G722" s="1" t="s">
        <v>16</v>
      </c>
      <c r="H722" s="1" t="s">
        <v>17</v>
      </c>
      <c r="I722" s="2">
        <v>8</v>
      </c>
      <c r="J722" s="3">
        <v>116468</v>
      </c>
      <c r="K722" s="3">
        <v>931744</v>
      </c>
      <c r="L722" s="3">
        <v>557079</v>
      </c>
      <c r="M722" s="3">
        <v>374665</v>
      </c>
      <c r="N722" s="4">
        <v>3</v>
      </c>
    </row>
    <row r="723" spans="1:14" x14ac:dyDescent="0.25">
      <c r="A723" s="2">
        <v>4</v>
      </c>
      <c r="B723" s="1" t="s">
        <v>61</v>
      </c>
      <c r="C723" s="1" t="s">
        <v>62</v>
      </c>
      <c r="D723" s="1" t="s">
        <v>63</v>
      </c>
      <c r="E723" s="11" t="s">
        <v>15</v>
      </c>
      <c r="F723" s="12">
        <v>45658</v>
      </c>
      <c r="G723" s="1" t="s">
        <v>16</v>
      </c>
      <c r="H723" s="1" t="s">
        <v>19</v>
      </c>
      <c r="I723" s="2">
        <v>14</v>
      </c>
      <c r="J723" s="3">
        <v>134586</v>
      </c>
      <c r="K723" s="3">
        <v>1884204</v>
      </c>
      <c r="L723" s="3">
        <v>1288779</v>
      </c>
      <c r="M723" s="3">
        <v>595425</v>
      </c>
      <c r="N723" s="4">
        <v>7</v>
      </c>
    </row>
    <row r="724" spans="1:14" x14ac:dyDescent="0.25">
      <c r="A724" s="2">
        <v>4</v>
      </c>
      <c r="B724" s="1" t="s">
        <v>61</v>
      </c>
      <c r="C724" s="1" t="s">
        <v>62</v>
      </c>
      <c r="D724" s="1" t="s">
        <v>64</v>
      </c>
      <c r="E724" s="11" t="s">
        <v>15</v>
      </c>
      <c r="F724" s="12">
        <v>45658</v>
      </c>
      <c r="G724" s="1" t="s">
        <v>16</v>
      </c>
      <c r="H724" s="1" t="s">
        <v>20</v>
      </c>
      <c r="I724" s="2">
        <v>17</v>
      </c>
      <c r="J724" s="3">
        <v>49118</v>
      </c>
      <c r="K724" s="3">
        <v>835006</v>
      </c>
      <c r="L724" s="3">
        <v>472408</v>
      </c>
      <c r="M724" s="3">
        <v>362598</v>
      </c>
      <c r="N724" s="4">
        <v>7</v>
      </c>
    </row>
    <row r="725" spans="1:14" x14ac:dyDescent="0.25">
      <c r="A725" s="2">
        <v>4</v>
      </c>
      <c r="B725" s="1" t="s">
        <v>61</v>
      </c>
      <c r="C725" s="1" t="s">
        <v>62</v>
      </c>
      <c r="D725" s="1" t="s">
        <v>63</v>
      </c>
      <c r="E725" s="11" t="s">
        <v>15</v>
      </c>
      <c r="F725" s="12">
        <v>45658</v>
      </c>
      <c r="G725" s="1" t="s">
        <v>16</v>
      </c>
      <c r="H725" s="1" t="s">
        <v>21</v>
      </c>
      <c r="I725" s="2">
        <v>3</v>
      </c>
      <c r="J725" s="3">
        <v>62951</v>
      </c>
      <c r="K725" s="3">
        <v>188853</v>
      </c>
      <c r="L725" s="3">
        <v>91542</v>
      </c>
      <c r="M725" s="3">
        <v>97311</v>
      </c>
      <c r="N725" s="4">
        <v>9</v>
      </c>
    </row>
    <row r="726" spans="1:14" x14ac:dyDescent="0.25">
      <c r="A726" s="2">
        <v>4</v>
      </c>
      <c r="B726" s="1" t="s">
        <v>61</v>
      </c>
      <c r="C726" s="1" t="s">
        <v>62</v>
      </c>
      <c r="D726" s="1" t="s">
        <v>64</v>
      </c>
      <c r="E726" s="11" t="s">
        <v>15</v>
      </c>
      <c r="F726" s="12">
        <v>45658</v>
      </c>
      <c r="G726" s="1" t="s">
        <v>22</v>
      </c>
      <c r="H726" s="1" t="s">
        <v>23</v>
      </c>
      <c r="I726" s="2">
        <v>3</v>
      </c>
      <c r="J726" s="3">
        <v>41253</v>
      </c>
      <c r="K726" s="3">
        <v>123759</v>
      </c>
      <c r="L726" s="3">
        <v>63312</v>
      </c>
      <c r="M726" s="3">
        <v>60447</v>
      </c>
      <c r="N726" s="4">
        <v>6</v>
      </c>
    </row>
    <row r="727" spans="1:14" x14ac:dyDescent="0.25">
      <c r="A727" s="2">
        <v>4</v>
      </c>
      <c r="B727" s="1" t="s">
        <v>61</v>
      </c>
      <c r="C727" s="1" t="s">
        <v>62</v>
      </c>
      <c r="D727" s="1" t="s">
        <v>63</v>
      </c>
      <c r="E727" s="11" t="s">
        <v>15</v>
      </c>
      <c r="F727" s="12">
        <v>45658</v>
      </c>
      <c r="G727" s="1" t="s">
        <v>22</v>
      </c>
      <c r="H727" s="1" t="s">
        <v>24</v>
      </c>
      <c r="I727" s="2">
        <v>18</v>
      </c>
      <c r="J727" s="3">
        <v>123850</v>
      </c>
      <c r="K727" s="3">
        <v>2229300</v>
      </c>
      <c r="L727" s="3">
        <v>1410441</v>
      </c>
      <c r="M727" s="3">
        <v>818859</v>
      </c>
      <c r="N727" s="4">
        <v>2</v>
      </c>
    </row>
    <row r="728" spans="1:14" x14ac:dyDescent="0.25">
      <c r="A728" s="2">
        <v>4</v>
      </c>
      <c r="B728" s="1" t="s">
        <v>61</v>
      </c>
      <c r="C728" s="1" t="s">
        <v>62</v>
      </c>
      <c r="D728" s="1" t="s">
        <v>63</v>
      </c>
      <c r="E728" s="11" t="s">
        <v>15</v>
      </c>
      <c r="F728" s="12">
        <v>45658</v>
      </c>
      <c r="G728" s="1" t="s">
        <v>22</v>
      </c>
      <c r="H728" s="1" t="s">
        <v>25</v>
      </c>
      <c r="I728" s="2">
        <v>11</v>
      </c>
      <c r="J728" s="3">
        <v>22551</v>
      </c>
      <c r="K728" s="3">
        <v>248061</v>
      </c>
      <c r="L728" s="3">
        <v>113120</v>
      </c>
      <c r="M728" s="3">
        <v>134941</v>
      </c>
      <c r="N728" s="4">
        <v>7</v>
      </c>
    </row>
    <row r="729" spans="1:14" x14ac:dyDescent="0.25">
      <c r="A729" s="2">
        <v>4</v>
      </c>
      <c r="B729" s="1" t="s">
        <v>61</v>
      </c>
      <c r="C729" s="1" t="s">
        <v>62</v>
      </c>
      <c r="D729" s="1" t="s">
        <v>64</v>
      </c>
      <c r="E729" s="11" t="s">
        <v>15</v>
      </c>
      <c r="F729" s="12">
        <v>45658</v>
      </c>
      <c r="G729" s="1" t="s">
        <v>22</v>
      </c>
      <c r="H729" s="1" t="s">
        <v>26</v>
      </c>
      <c r="I729" s="2">
        <v>9</v>
      </c>
      <c r="J729" s="3">
        <v>95939</v>
      </c>
      <c r="K729" s="3">
        <v>863451</v>
      </c>
      <c r="L729" s="3">
        <v>416988</v>
      </c>
      <c r="M729" s="3">
        <v>446463</v>
      </c>
      <c r="N729" s="4">
        <v>7</v>
      </c>
    </row>
    <row r="730" spans="1:14" x14ac:dyDescent="0.25">
      <c r="A730" s="2">
        <v>4</v>
      </c>
      <c r="B730" s="1" t="s">
        <v>61</v>
      </c>
      <c r="C730" s="1" t="s">
        <v>62</v>
      </c>
      <c r="D730" s="1" t="s">
        <v>64</v>
      </c>
      <c r="E730" s="11" t="s">
        <v>15</v>
      </c>
      <c r="F730" s="12">
        <v>45658</v>
      </c>
      <c r="G730" s="1" t="s">
        <v>27</v>
      </c>
      <c r="H730" s="1" t="s">
        <v>28</v>
      </c>
      <c r="I730" s="2">
        <v>9</v>
      </c>
      <c r="J730" s="3">
        <v>41038</v>
      </c>
      <c r="K730" s="3">
        <v>369342</v>
      </c>
      <c r="L730" s="3">
        <v>169436</v>
      </c>
      <c r="M730" s="3">
        <v>199906</v>
      </c>
      <c r="N730" s="4">
        <v>13</v>
      </c>
    </row>
    <row r="731" spans="1:14" x14ac:dyDescent="0.25">
      <c r="A731" s="2">
        <v>4</v>
      </c>
      <c r="B731" s="1" t="s">
        <v>61</v>
      </c>
      <c r="C731" s="1" t="s">
        <v>62</v>
      </c>
      <c r="D731" s="1" t="s">
        <v>63</v>
      </c>
      <c r="E731" s="11" t="s">
        <v>15</v>
      </c>
      <c r="F731" s="12">
        <v>45658</v>
      </c>
      <c r="G731" s="1" t="s">
        <v>27</v>
      </c>
      <c r="H731" s="1" t="s">
        <v>29</v>
      </c>
      <c r="I731" s="2">
        <v>8</v>
      </c>
      <c r="J731" s="3">
        <v>99057</v>
      </c>
      <c r="K731" s="3">
        <v>792456</v>
      </c>
      <c r="L731" s="3">
        <v>354534</v>
      </c>
      <c r="M731" s="3">
        <v>437922</v>
      </c>
      <c r="N731" s="4">
        <v>3</v>
      </c>
    </row>
    <row r="732" spans="1:14" x14ac:dyDescent="0.25">
      <c r="A732" s="2">
        <v>4</v>
      </c>
      <c r="B732" s="1" t="s">
        <v>61</v>
      </c>
      <c r="C732" s="1" t="s">
        <v>62</v>
      </c>
      <c r="D732" s="1" t="s">
        <v>63</v>
      </c>
      <c r="E732" s="11" t="s">
        <v>15</v>
      </c>
      <c r="F732" s="12">
        <v>45658</v>
      </c>
      <c r="G732" s="1" t="s">
        <v>27</v>
      </c>
      <c r="H732" s="1" t="s">
        <v>30</v>
      </c>
      <c r="I732" s="2">
        <v>6</v>
      </c>
      <c r="J732" s="3">
        <v>97067</v>
      </c>
      <c r="K732" s="3">
        <v>582402</v>
      </c>
      <c r="L732" s="3">
        <v>261970</v>
      </c>
      <c r="M732" s="3">
        <v>320432</v>
      </c>
      <c r="N732" s="4">
        <v>2</v>
      </c>
    </row>
    <row r="733" spans="1:14" x14ac:dyDescent="0.25">
      <c r="A733" s="2">
        <v>4</v>
      </c>
      <c r="B733" s="1" t="s">
        <v>61</v>
      </c>
      <c r="C733" s="1" t="s">
        <v>62</v>
      </c>
      <c r="D733" s="1" t="s">
        <v>64</v>
      </c>
      <c r="E733" s="11" t="s">
        <v>15</v>
      </c>
      <c r="F733" s="12">
        <v>45658</v>
      </c>
      <c r="G733" s="1" t="s">
        <v>27</v>
      </c>
      <c r="H733" s="1" t="s">
        <v>31</v>
      </c>
      <c r="I733" s="2">
        <v>13</v>
      </c>
      <c r="J733" s="3">
        <v>85794</v>
      </c>
      <c r="K733" s="3">
        <v>1115322</v>
      </c>
      <c r="L733" s="3">
        <v>746324</v>
      </c>
      <c r="M733" s="3">
        <v>368998</v>
      </c>
      <c r="N733" s="4">
        <v>10</v>
      </c>
    </row>
    <row r="734" spans="1:14" x14ac:dyDescent="0.25">
      <c r="A734" s="2">
        <v>4</v>
      </c>
      <c r="B734" s="1" t="s">
        <v>61</v>
      </c>
      <c r="C734" s="1" t="s">
        <v>62</v>
      </c>
      <c r="D734" s="1" t="s">
        <v>64</v>
      </c>
      <c r="E734" s="11" t="s">
        <v>15</v>
      </c>
      <c r="F734" s="12">
        <v>45658</v>
      </c>
      <c r="G734" s="1" t="s">
        <v>32</v>
      </c>
      <c r="H734" s="1" t="s">
        <v>33</v>
      </c>
      <c r="I734" s="2">
        <v>8</v>
      </c>
      <c r="J734" s="3">
        <v>11629</v>
      </c>
      <c r="K734" s="3">
        <v>93032</v>
      </c>
      <c r="L734" s="3">
        <v>41140</v>
      </c>
      <c r="M734" s="3">
        <v>51892</v>
      </c>
      <c r="N734" s="4">
        <v>0</v>
      </c>
    </row>
    <row r="735" spans="1:14" x14ac:dyDescent="0.25">
      <c r="A735" s="2">
        <v>4</v>
      </c>
      <c r="B735" s="1" t="s">
        <v>61</v>
      </c>
      <c r="C735" s="1" t="s">
        <v>62</v>
      </c>
      <c r="D735" s="1" t="s">
        <v>63</v>
      </c>
      <c r="E735" s="11" t="s">
        <v>15</v>
      </c>
      <c r="F735" s="12">
        <v>45658</v>
      </c>
      <c r="G735" s="1" t="s">
        <v>32</v>
      </c>
      <c r="H735" s="1" t="s">
        <v>34</v>
      </c>
      <c r="I735" s="2">
        <v>8</v>
      </c>
      <c r="J735" s="3">
        <v>5612</v>
      </c>
      <c r="K735" s="3">
        <v>44896</v>
      </c>
      <c r="L735" s="3">
        <v>27826</v>
      </c>
      <c r="M735" s="3">
        <v>17070</v>
      </c>
      <c r="N735" s="4">
        <v>10</v>
      </c>
    </row>
    <row r="736" spans="1:14" x14ac:dyDescent="0.25">
      <c r="A736" s="2">
        <v>4</v>
      </c>
      <c r="B736" s="1" t="s">
        <v>61</v>
      </c>
      <c r="C736" s="1" t="s">
        <v>62</v>
      </c>
      <c r="D736" s="1" t="s">
        <v>63</v>
      </c>
      <c r="E736" s="11" t="s">
        <v>15</v>
      </c>
      <c r="F736" s="12">
        <v>45658</v>
      </c>
      <c r="G736" s="1" t="s">
        <v>32</v>
      </c>
      <c r="H736" s="1" t="s">
        <v>35</v>
      </c>
      <c r="I736" s="2">
        <v>5</v>
      </c>
      <c r="J736" s="3">
        <v>7307</v>
      </c>
      <c r="K736" s="3">
        <v>36535</v>
      </c>
      <c r="L736" s="3">
        <v>23366</v>
      </c>
      <c r="M736" s="3">
        <v>13169</v>
      </c>
      <c r="N736" s="4">
        <v>13</v>
      </c>
    </row>
    <row r="737" spans="1:14" x14ac:dyDescent="0.25">
      <c r="A737" s="2">
        <v>4</v>
      </c>
      <c r="B737" s="1" t="s">
        <v>61</v>
      </c>
      <c r="C737" s="1" t="s">
        <v>62</v>
      </c>
      <c r="D737" s="1" t="s">
        <v>64</v>
      </c>
      <c r="E737" s="11" t="s">
        <v>15</v>
      </c>
      <c r="F737" s="12">
        <v>45658</v>
      </c>
      <c r="G737" s="1" t="s">
        <v>32</v>
      </c>
      <c r="H737" s="1" t="s">
        <v>36</v>
      </c>
      <c r="I737" s="2">
        <v>19</v>
      </c>
      <c r="J737" s="3">
        <v>7591</v>
      </c>
      <c r="K737" s="3">
        <v>144229</v>
      </c>
      <c r="L737" s="3">
        <v>62781</v>
      </c>
      <c r="M737" s="3">
        <v>81448</v>
      </c>
      <c r="N737" s="4">
        <v>10</v>
      </c>
    </row>
    <row r="738" spans="1:14" x14ac:dyDescent="0.25">
      <c r="A738" s="2">
        <v>4</v>
      </c>
      <c r="B738" s="1" t="s">
        <v>61</v>
      </c>
      <c r="C738" s="1" t="s">
        <v>62</v>
      </c>
      <c r="D738" s="1" t="s">
        <v>63</v>
      </c>
      <c r="E738" s="11" t="s">
        <v>15</v>
      </c>
      <c r="F738" s="12">
        <v>45658</v>
      </c>
      <c r="G738" s="1" t="s">
        <v>37</v>
      </c>
      <c r="H738" s="1" t="s">
        <v>38</v>
      </c>
      <c r="I738" s="2">
        <v>14</v>
      </c>
      <c r="J738" s="3">
        <v>130454</v>
      </c>
      <c r="K738" s="3">
        <v>1826356</v>
      </c>
      <c r="L738" s="3">
        <v>1260437</v>
      </c>
      <c r="M738" s="3">
        <v>565919</v>
      </c>
      <c r="N738" s="4">
        <v>14</v>
      </c>
    </row>
    <row r="739" spans="1:14" x14ac:dyDescent="0.25">
      <c r="A739" s="2">
        <v>4</v>
      </c>
      <c r="B739" s="1" t="s">
        <v>61</v>
      </c>
      <c r="C739" s="1" t="s">
        <v>62</v>
      </c>
      <c r="D739" s="1" t="s">
        <v>64</v>
      </c>
      <c r="E739" s="11" t="s">
        <v>15</v>
      </c>
      <c r="F739" s="12">
        <v>45658</v>
      </c>
      <c r="G739" s="1" t="s">
        <v>37</v>
      </c>
      <c r="H739" s="1" t="s">
        <v>39</v>
      </c>
      <c r="I739" s="2">
        <v>13</v>
      </c>
      <c r="J739" s="3">
        <v>62870</v>
      </c>
      <c r="K739" s="3">
        <v>817310</v>
      </c>
      <c r="L739" s="3">
        <v>356943</v>
      </c>
      <c r="M739" s="3">
        <v>460367</v>
      </c>
      <c r="N739" s="4">
        <v>13</v>
      </c>
    </row>
    <row r="740" spans="1:14" x14ac:dyDescent="0.25">
      <c r="A740" s="2">
        <v>4</v>
      </c>
      <c r="B740" s="1" t="s">
        <v>61</v>
      </c>
      <c r="C740" s="1" t="s">
        <v>62</v>
      </c>
      <c r="D740" s="1" t="s">
        <v>63</v>
      </c>
      <c r="E740" s="11" t="s">
        <v>15</v>
      </c>
      <c r="F740" s="12">
        <v>45658</v>
      </c>
      <c r="G740" s="1" t="s">
        <v>37</v>
      </c>
      <c r="H740" s="1" t="s">
        <v>40</v>
      </c>
      <c r="I740" s="2">
        <v>13</v>
      </c>
      <c r="J740" s="3">
        <v>76481</v>
      </c>
      <c r="K740" s="3">
        <v>994253</v>
      </c>
      <c r="L740" s="3">
        <v>447201</v>
      </c>
      <c r="M740" s="3">
        <v>547052</v>
      </c>
      <c r="N740" s="4">
        <v>5</v>
      </c>
    </row>
    <row r="741" spans="1:14" x14ac:dyDescent="0.25">
      <c r="A741" s="2">
        <v>4</v>
      </c>
      <c r="B741" s="1" t="s">
        <v>61</v>
      </c>
      <c r="C741" s="1" t="s">
        <v>62</v>
      </c>
      <c r="D741" s="1" t="s">
        <v>64</v>
      </c>
      <c r="E741" s="11" t="s">
        <v>15</v>
      </c>
      <c r="F741" s="12">
        <v>45658</v>
      </c>
      <c r="G741" s="1" t="s">
        <v>37</v>
      </c>
      <c r="H741" s="1" t="s">
        <v>41</v>
      </c>
      <c r="I741" s="2">
        <v>5</v>
      </c>
      <c r="J741" s="3">
        <v>29752</v>
      </c>
      <c r="K741" s="3">
        <v>148760</v>
      </c>
      <c r="L741" s="3">
        <v>63655</v>
      </c>
      <c r="M741" s="3">
        <v>85105</v>
      </c>
      <c r="N741" s="4">
        <v>3</v>
      </c>
    </row>
    <row r="742" spans="1:14" x14ac:dyDescent="0.25">
      <c r="A742" s="2">
        <v>4</v>
      </c>
      <c r="B742" s="1" t="s">
        <v>61</v>
      </c>
      <c r="C742" s="1" t="s">
        <v>62</v>
      </c>
      <c r="D742" s="1" t="s">
        <v>63</v>
      </c>
      <c r="E742" s="11" t="s">
        <v>42</v>
      </c>
      <c r="F742" s="12">
        <v>45689</v>
      </c>
      <c r="G742" s="1" t="s">
        <v>16</v>
      </c>
      <c r="H742" s="1" t="s">
        <v>17</v>
      </c>
      <c r="I742" s="2">
        <v>2</v>
      </c>
      <c r="J742" s="3">
        <v>44217</v>
      </c>
      <c r="K742" s="3">
        <v>88434</v>
      </c>
      <c r="L742" s="3">
        <v>37480</v>
      </c>
      <c r="M742" s="3">
        <v>50954</v>
      </c>
      <c r="N742" s="4">
        <v>4</v>
      </c>
    </row>
    <row r="743" spans="1:14" x14ac:dyDescent="0.25">
      <c r="A743" s="2">
        <v>4</v>
      </c>
      <c r="B743" s="1" t="s">
        <v>61</v>
      </c>
      <c r="C743" s="1" t="s">
        <v>62</v>
      </c>
      <c r="D743" s="1" t="s">
        <v>63</v>
      </c>
      <c r="E743" s="11" t="s">
        <v>42</v>
      </c>
      <c r="F743" s="12">
        <v>45689</v>
      </c>
      <c r="G743" s="1" t="s">
        <v>16</v>
      </c>
      <c r="H743" s="1" t="s">
        <v>19</v>
      </c>
      <c r="I743" s="2">
        <v>3</v>
      </c>
      <c r="J743" s="3">
        <v>35036</v>
      </c>
      <c r="K743" s="3">
        <v>105108</v>
      </c>
      <c r="L743" s="3">
        <v>52664</v>
      </c>
      <c r="M743" s="3">
        <v>52444</v>
      </c>
      <c r="N743" s="4">
        <v>8</v>
      </c>
    </row>
    <row r="744" spans="1:14" x14ac:dyDescent="0.25">
      <c r="A744" s="2">
        <v>4</v>
      </c>
      <c r="B744" s="1" t="s">
        <v>61</v>
      </c>
      <c r="C744" s="1" t="s">
        <v>62</v>
      </c>
      <c r="D744" s="1" t="s">
        <v>63</v>
      </c>
      <c r="E744" s="11" t="s">
        <v>42</v>
      </c>
      <c r="F744" s="12">
        <v>45689</v>
      </c>
      <c r="G744" s="1" t="s">
        <v>16</v>
      </c>
      <c r="H744" s="1" t="s">
        <v>20</v>
      </c>
      <c r="I744" s="2">
        <v>6</v>
      </c>
      <c r="J744" s="3">
        <v>115665</v>
      </c>
      <c r="K744" s="3">
        <v>693990</v>
      </c>
      <c r="L744" s="3">
        <v>300653</v>
      </c>
      <c r="M744" s="3">
        <v>393337</v>
      </c>
      <c r="N744" s="4">
        <v>11</v>
      </c>
    </row>
    <row r="745" spans="1:14" x14ac:dyDescent="0.25">
      <c r="A745" s="2">
        <v>4</v>
      </c>
      <c r="B745" s="1" t="s">
        <v>61</v>
      </c>
      <c r="C745" s="1" t="s">
        <v>62</v>
      </c>
      <c r="D745" s="1" t="s">
        <v>63</v>
      </c>
      <c r="E745" s="11" t="s">
        <v>42</v>
      </c>
      <c r="F745" s="12">
        <v>45689</v>
      </c>
      <c r="G745" s="1" t="s">
        <v>16</v>
      </c>
      <c r="H745" s="1" t="s">
        <v>21</v>
      </c>
      <c r="I745" s="2">
        <v>12</v>
      </c>
      <c r="J745" s="3">
        <v>142232</v>
      </c>
      <c r="K745" s="3">
        <v>1706784</v>
      </c>
      <c r="L745" s="3">
        <v>923968</v>
      </c>
      <c r="M745" s="3">
        <v>782816</v>
      </c>
      <c r="N745" s="4">
        <v>14</v>
      </c>
    </row>
    <row r="746" spans="1:14" x14ac:dyDescent="0.25">
      <c r="A746" s="2">
        <v>4</v>
      </c>
      <c r="B746" s="1" t="s">
        <v>61</v>
      </c>
      <c r="C746" s="1" t="s">
        <v>62</v>
      </c>
      <c r="D746" s="1" t="s">
        <v>64</v>
      </c>
      <c r="E746" s="11" t="s">
        <v>42</v>
      </c>
      <c r="F746" s="12">
        <v>45689</v>
      </c>
      <c r="G746" s="1" t="s">
        <v>22</v>
      </c>
      <c r="H746" s="1" t="s">
        <v>23</v>
      </c>
      <c r="I746" s="2">
        <v>12</v>
      </c>
      <c r="J746" s="3">
        <v>46475</v>
      </c>
      <c r="K746" s="3">
        <v>557700</v>
      </c>
      <c r="L746" s="3">
        <v>275625</v>
      </c>
      <c r="M746" s="3">
        <v>282075</v>
      </c>
      <c r="N746" s="4">
        <v>7</v>
      </c>
    </row>
    <row r="747" spans="1:14" x14ac:dyDescent="0.25">
      <c r="A747" s="2">
        <v>4</v>
      </c>
      <c r="B747" s="1" t="s">
        <v>61</v>
      </c>
      <c r="C747" s="1" t="s">
        <v>62</v>
      </c>
      <c r="D747" s="1" t="s">
        <v>63</v>
      </c>
      <c r="E747" s="11" t="s">
        <v>42</v>
      </c>
      <c r="F747" s="12">
        <v>45689</v>
      </c>
      <c r="G747" s="1" t="s">
        <v>22</v>
      </c>
      <c r="H747" s="1" t="s">
        <v>24</v>
      </c>
      <c r="I747" s="2">
        <v>2</v>
      </c>
      <c r="J747" s="3">
        <v>66037</v>
      </c>
      <c r="K747" s="3">
        <v>132074</v>
      </c>
      <c r="L747" s="3">
        <v>85646</v>
      </c>
      <c r="M747" s="3">
        <v>46428</v>
      </c>
      <c r="N747" s="4">
        <v>11</v>
      </c>
    </row>
    <row r="748" spans="1:14" x14ac:dyDescent="0.25">
      <c r="A748" s="2">
        <v>4</v>
      </c>
      <c r="B748" s="1" t="s">
        <v>61</v>
      </c>
      <c r="C748" s="1" t="s">
        <v>62</v>
      </c>
      <c r="D748" s="1" t="s">
        <v>64</v>
      </c>
      <c r="E748" s="11" t="s">
        <v>42</v>
      </c>
      <c r="F748" s="12">
        <v>45689</v>
      </c>
      <c r="G748" s="1" t="s">
        <v>22</v>
      </c>
      <c r="H748" s="1" t="s">
        <v>25</v>
      </c>
      <c r="I748" s="2">
        <v>16</v>
      </c>
      <c r="J748" s="3">
        <v>56116</v>
      </c>
      <c r="K748" s="3">
        <v>897856</v>
      </c>
      <c r="L748" s="3">
        <v>389564</v>
      </c>
      <c r="M748" s="3">
        <v>508292</v>
      </c>
      <c r="N748" s="4">
        <v>9</v>
      </c>
    </row>
    <row r="749" spans="1:14" x14ac:dyDescent="0.25">
      <c r="A749" s="2">
        <v>4</v>
      </c>
      <c r="B749" s="1" t="s">
        <v>61</v>
      </c>
      <c r="C749" s="1" t="s">
        <v>62</v>
      </c>
      <c r="D749" s="1" t="s">
        <v>64</v>
      </c>
      <c r="E749" s="11" t="s">
        <v>42</v>
      </c>
      <c r="F749" s="12">
        <v>45689</v>
      </c>
      <c r="G749" s="1" t="s">
        <v>22</v>
      </c>
      <c r="H749" s="1" t="s">
        <v>26</v>
      </c>
      <c r="I749" s="2">
        <v>1</v>
      </c>
      <c r="J749" s="3">
        <v>45556</v>
      </c>
      <c r="K749" s="3">
        <v>45556</v>
      </c>
      <c r="L749" s="3">
        <v>23964</v>
      </c>
      <c r="M749" s="3">
        <v>21592</v>
      </c>
      <c r="N749" s="4">
        <v>1</v>
      </c>
    </row>
    <row r="750" spans="1:14" x14ac:dyDescent="0.25">
      <c r="A750" s="2">
        <v>4</v>
      </c>
      <c r="B750" s="1" t="s">
        <v>61</v>
      </c>
      <c r="C750" s="1" t="s">
        <v>62</v>
      </c>
      <c r="D750" s="1" t="s">
        <v>64</v>
      </c>
      <c r="E750" s="11" t="s">
        <v>42</v>
      </c>
      <c r="F750" s="12">
        <v>45689</v>
      </c>
      <c r="G750" s="1" t="s">
        <v>27</v>
      </c>
      <c r="H750" s="1" t="s">
        <v>28</v>
      </c>
      <c r="I750" s="2">
        <v>9</v>
      </c>
      <c r="J750" s="3">
        <v>91986</v>
      </c>
      <c r="K750" s="3">
        <v>827874</v>
      </c>
      <c r="L750" s="3">
        <v>442999</v>
      </c>
      <c r="M750" s="3">
        <v>384875</v>
      </c>
      <c r="N750" s="4">
        <v>9</v>
      </c>
    </row>
    <row r="751" spans="1:14" x14ac:dyDescent="0.25">
      <c r="A751" s="2">
        <v>4</v>
      </c>
      <c r="B751" s="1" t="s">
        <v>61</v>
      </c>
      <c r="C751" s="1" t="s">
        <v>62</v>
      </c>
      <c r="D751" s="1" t="s">
        <v>63</v>
      </c>
      <c r="E751" s="11" t="s">
        <v>42</v>
      </c>
      <c r="F751" s="12">
        <v>45689</v>
      </c>
      <c r="G751" s="1" t="s">
        <v>27</v>
      </c>
      <c r="H751" s="1" t="s">
        <v>29</v>
      </c>
      <c r="I751" s="2">
        <v>11</v>
      </c>
      <c r="J751" s="3">
        <v>125400</v>
      </c>
      <c r="K751" s="3">
        <v>1379400</v>
      </c>
      <c r="L751" s="3">
        <v>731980</v>
      </c>
      <c r="M751" s="3">
        <v>647420</v>
      </c>
      <c r="N751" s="4">
        <v>5</v>
      </c>
    </row>
    <row r="752" spans="1:14" x14ac:dyDescent="0.25">
      <c r="A752" s="2">
        <v>4</v>
      </c>
      <c r="B752" s="1" t="s">
        <v>61</v>
      </c>
      <c r="C752" s="1" t="s">
        <v>62</v>
      </c>
      <c r="D752" s="1" t="s">
        <v>63</v>
      </c>
      <c r="E752" s="11" t="s">
        <v>42</v>
      </c>
      <c r="F752" s="12">
        <v>45689</v>
      </c>
      <c r="G752" s="1" t="s">
        <v>27</v>
      </c>
      <c r="H752" s="1" t="s">
        <v>30</v>
      </c>
      <c r="I752" s="2">
        <v>17</v>
      </c>
      <c r="J752" s="3">
        <v>92516</v>
      </c>
      <c r="K752" s="3">
        <v>1572772</v>
      </c>
      <c r="L752" s="3">
        <v>1009497</v>
      </c>
      <c r="M752" s="3">
        <v>563275</v>
      </c>
      <c r="N752" s="4">
        <v>13</v>
      </c>
    </row>
    <row r="753" spans="1:14" x14ac:dyDescent="0.25">
      <c r="A753" s="2">
        <v>4</v>
      </c>
      <c r="B753" s="1" t="s">
        <v>61</v>
      </c>
      <c r="C753" s="1" t="s">
        <v>62</v>
      </c>
      <c r="D753" s="1" t="s">
        <v>64</v>
      </c>
      <c r="E753" s="11" t="s">
        <v>42</v>
      </c>
      <c r="F753" s="12">
        <v>45689</v>
      </c>
      <c r="G753" s="1" t="s">
        <v>27</v>
      </c>
      <c r="H753" s="1" t="s">
        <v>31</v>
      </c>
      <c r="I753" s="2">
        <v>15</v>
      </c>
      <c r="J753" s="3">
        <v>52602</v>
      </c>
      <c r="K753" s="3">
        <v>789030</v>
      </c>
      <c r="L753" s="3">
        <v>465719</v>
      </c>
      <c r="M753" s="3">
        <v>323311</v>
      </c>
      <c r="N753" s="4">
        <v>3</v>
      </c>
    </row>
    <row r="754" spans="1:14" x14ac:dyDescent="0.25">
      <c r="A754" s="2">
        <v>4</v>
      </c>
      <c r="B754" s="1" t="s">
        <v>61</v>
      </c>
      <c r="C754" s="1" t="s">
        <v>62</v>
      </c>
      <c r="D754" s="1" t="s">
        <v>64</v>
      </c>
      <c r="E754" s="11" t="s">
        <v>42</v>
      </c>
      <c r="F754" s="12">
        <v>45689</v>
      </c>
      <c r="G754" s="1" t="s">
        <v>32</v>
      </c>
      <c r="H754" s="1" t="s">
        <v>33</v>
      </c>
      <c r="I754" s="2">
        <v>16</v>
      </c>
      <c r="J754" s="3">
        <v>11049</v>
      </c>
      <c r="K754" s="3">
        <v>176784</v>
      </c>
      <c r="L754" s="3">
        <v>87955</v>
      </c>
      <c r="M754" s="3">
        <v>88829</v>
      </c>
      <c r="N754" s="4">
        <v>7</v>
      </c>
    </row>
    <row r="755" spans="1:14" x14ac:dyDescent="0.25">
      <c r="A755" s="2">
        <v>4</v>
      </c>
      <c r="B755" s="1" t="s">
        <v>61</v>
      </c>
      <c r="C755" s="1" t="s">
        <v>62</v>
      </c>
      <c r="D755" s="1" t="s">
        <v>64</v>
      </c>
      <c r="E755" s="11" t="s">
        <v>42</v>
      </c>
      <c r="F755" s="12">
        <v>45689</v>
      </c>
      <c r="G755" s="1" t="s">
        <v>32</v>
      </c>
      <c r="H755" s="1" t="s">
        <v>34</v>
      </c>
      <c r="I755" s="2">
        <v>15</v>
      </c>
      <c r="J755" s="3">
        <v>6958</v>
      </c>
      <c r="K755" s="3">
        <v>104370</v>
      </c>
      <c r="L755" s="3">
        <v>46981</v>
      </c>
      <c r="M755" s="3">
        <v>57389</v>
      </c>
      <c r="N755" s="4">
        <v>3</v>
      </c>
    </row>
    <row r="756" spans="1:14" x14ac:dyDescent="0.25">
      <c r="A756" s="2">
        <v>4</v>
      </c>
      <c r="B756" s="1" t="s">
        <v>61</v>
      </c>
      <c r="C756" s="1" t="s">
        <v>62</v>
      </c>
      <c r="D756" s="1" t="s">
        <v>63</v>
      </c>
      <c r="E756" s="11" t="s">
        <v>42</v>
      </c>
      <c r="F756" s="12">
        <v>45689</v>
      </c>
      <c r="G756" s="1" t="s">
        <v>32</v>
      </c>
      <c r="H756" s="1" t="s">
        <v>35</v>
      </c>
      <c r="I756" s="2">
        <v>1</v>
      </c>
      <c r="J756" s="3">
        <v>10063</v>
      </c>
      <c r="K756" s="3">
        <v>10063</v>
      </c>
      <c r="L756" s="3">
        <v>4244</v>
      </c>
      <c r="M756" s="3">
        <v>5819</v>
      </c>
      <c r="N756" s="4">
        <v>14</v>
      </c>
    </row>
    <row r="757" spans="1:14" x14ac:dyDescent="0.25">
      <c r="A757" s="2">
        <v>4</v>
      </c>
      <c r="B757" s="1" t="s">
        <v>61</v>
      </c>
      <c r="C757" s="1" t="s">
        <v>62</v>
      </c>
      <c r="D757" s="1" t="s">
        <v>63</v>
      </c>
      <c r="E757" s="11" t="s">
        <v>42</v>
      </c>
      <c r="F757" s="12">
        <v>45689</v>
      </c>
      <c r="G757" s="1" t="s">
        <v>32</v>
      </c>
      <c r="H757" s="1" t="s">
        <v>36</v>
      </c>
      <c r="I757" s="2">
        <v>3</v>
      </c>
      <c r="J757" s="3">
        <v>11659</v>
      </c>
      <c r="K757" s="3">
        <v>34977</v>
      </c>
      <c r="L757" s="3">
        <v>23081</v>
      </c>
      <c r="M757" s="3">
        <v>11896</v>
      </c>
      <c r="N757" s="4">
        <v>14</v>
      </c>
    </row>
    <row r="758" spans="1:14" x14ac:dyDescent="0.25">
      <c r="A758" s="2">
        <v>4</v>
      </c>
      <c r="B758" s="1" t="s">
        <v>61</v>
      </c>
      <c r="C758" s="1" t="s">
        <v>62</v>
      </c>
      <c r="D758" s="1" t="s">
        <v>63</v>
      </c>
      <c r="E758" s="11" t="s">
        <v>42</v>
      </c>
      <c r="F758" s="12">
        <v>45689</v>
      </c>
      <c r="G758" s="1" t="s">
        <v>37</v>
      </c>
      <c r="H758" s="1" t="s">
        <v>38</v>
      </c>
      <c r="I758" s="2">
        <v>6</v>
      </c>
      <c r="J758" s="3">
        <v>132782</v>
      </c>
      <c r="K758" s="3">
        <v>796692</v>
      </c>
      <c r="L758" s="3">
        <v>369500</v>
      </c>
      <c r="M758" s="3">
        <v>427192</v>
      </c>
      <c r="N758" s="4">
        <v>2</v>
      </c>
    </row>
    <row r="759" spans="1:14" x14ac:dyDescent="0.25">
      <c r="A759" s="2">
        <v>4</v>
      </c>
      <c r="B759" s="1" t="s">
        <v>61</v>
      </c>
      <c r="C759" s="1" t="s">
        <v>62</v>
      </c>
      <c r="D759" s="1" t="s">
        <v>63</v>
      </c>
      <c r="E759" s="11" t="s">
        <v>42</v>
      </c>
      <c r="F759" s="12">
        <v>45689</v>
      </c>
      <c r="G759" s="1" t="s">
        <v>37</v>
      </c>
      <c r="H759" s="1" t="s">
        <v>39</v>
      </c>
      <c r="I759" s="2">
        <v>14</v>
      </c>
      <c r="J759" s="3">
        <v>28179</v>
      </c>
      <c r="K759" s="3">
        <v>394506</v>
      </c>
      <c r="L759" s="3">
        <v>268852</v>
      </c>
      <c r="M759" s="3">
        <v>125654</v>
      </c>
      <c r="N759" s="4">
        <v>11</v>
      </c>
    </row>
    <row r="760" spans="1:14" x14ac:dyDescent="0.25">
      <c r="A760" s="2">
        <v>4</v>
      </c>
      <c r="B760" s="1" t="s">
        <v>61</v>
      </c>
      <c r="C760" s="1" t="s">
        <v>62</v>
      </c>
      <c r="D760" s="1" t="s">
        <v>63</v>
      </c>
      <c r="E760" s="11" t="s">
        <v>42</v>
      </c>
      <c r="F760" s="12">
        <v>45689</v>
      </c>
      <c r="G760" s="1" t="s">
        <v>37</v>
      </c>
      <c r="H760" s="1" t="s">
        <v>40</v>
      </c>
      <c r="I760" s="2">
        <v>17</v>
      </c>
      <c r="J760" s="3">
        <v>73798</v>
      </c>
      <c r="K760" s="3">
        <v>1254566</v>
      </c>
      <c r="L760" s="3">
        <v>805705</v>
      </c>
      <c r="M760" s="3">
        <v>448861</v>
      </c>
      <c r="N760" s="4">
        <v>11</v>
      </c>
    </row>
    <row r="761" spans="1:14" x14ac:dyDescent="0.25">
      <c r="A761" s="2">
        <v>4</v>
      </c>
      <c r="B761" s="1" t="s">
        <v>61</v>
      </c>
      <c r="C761" s="1" t="s">
        <v>62</v>
      </c>
      <c r="D761" s="1" t="s">
        <v>64</v>
      </c>
      <c r="E761" s="11" t="s">
        <v>42</v>
      </c>
      <c r="F761" s="12">
        <v>45689</v>
      </c>
      <c r="G761" s="1" t="s">
        <v>37</v>
      </c>
      <c r="H761" s="1" t="s">
        <v>41</v>
      </c>
      <c r="I761" s="2">
        <v>13</v>
      </c>
      <c r="J761" s="3">
        <v>76526</v>
      </c>
      <c r="K761" s="3">
        <v>994838</v>
      </c>
      <c r="L761" s="3">
        <v>475618</v>
      </c>
      <c r="M761" s="3">
        <v>519220</v>
      </c>
      <c r="N761" s="4">
        <v>0</v>
      </c>
    </row>
    <row r="762" spans="1:14" x14ac:dyDescent="0.25">
      <c r="A762" s="2">
        <v>4</v>
      </c>
      <c r="B762" s="1" t="s">
        <v>61</v>
      </c>
      <c r="C762" s="1" t="s">
        <v>62</v>
      </c>
      <c r="D762" s="1" t="s">
        <v>63</v>
      </c>
      <c r="E762" s="11" t="s">
        <v>43</v>
      </c>
      <c r="F762" s="12">
        <v>45717</v>
      </c>
      <c r="G762" s="1" t="s">
        <v>16</v>
      </c>
      <c r="H762" s="1" t="s">
        <v>17</v>
      </c>
      <c r="I762" s="2">
        <v>6</v>
      </c>
      <c r="J762" s="3">
        <v>92954</v>
      </c>
      <c r="K762" s="3">
        <v>557724</v>
      </c>
      <c r="L762" s="3">
        <v>223121</v>
      </c>
      <c r="M762" s="3">
        <v>334603</v>
      </c>
      <c r="N762" s="4">
        <v>10</v>
      </c>
    </row>
    <row r="763" spans="1:14" x14ac:dyDescent="0.25">
      <c r="A763" s="2">
        <v>4</v>
      </c>
      <c r="B763" s="1" t="s">
        <v>61</v>
      </c>
      <c r="C763" s="1" t="s">
        <v>62</v>
      </c>
      <c r="D763" s="1" t="s">
        <v>63</v>
      </c>
      <c r="E763" s="11" t="s">
        <v>43</v>
      </c>
      <c r="F763" s="12">
        <v>45717</v>
      </c>
      <c r="G763" s="1" t="s">
        <v>16</v>
      </c>
      <c r="H763" s="1" t="s">
        <v>19</v>
      </c>
      <c r="I763" s="2">
        <v>2</v>
      </c>
      <c r="J763" s="3">
        <v>35223</v>
      </c>
      <c r="K763" s="3">
        <v>70446</v>
      </c>
      <c r="L763" s="3">
        <v>36198</v>
      </c>
      <c r="M763" s="3">
        <v>34248</v>
      </c>
      <c r="N763" s="4">
        <v>13</v>
      </c>
    </row>
    <row r="764" spans="1:14" x14ac:dyDescent="0.25">
      <c r="A764" s="2">
        <v>4</v>
      </c>
      <c r="B764" s="1" t="s">
        <v>61</v>
      </c>
      <c r="C764" s="1" t="s">
        <v>62</v>
      </c>
      <c r="D764" s="1" t="s">
        <v>63</v>
      </c>
      <c r="E764" s="11" t="s">
        <v>43</v>
      </c>
      <c r="F764" s="12">
        <v>45717</v>
      </c>
      <c r="G764" s="1" t="s">
        <v>16</v>
      </c>
      <c r="H764" s="1" t="s">
        <v>20</v>
      </c>
      <c r="I764" s="2">
        <v>4</v>
      </c>
      <c r="J764" s="3">
        <v>106516</v>
      </c>
      <c r="K764" s="3">
        <v>426064</v>
      </c>
      <c r="L764" s="3">
        <v>240297</v>
      </c>
      <c r="M764" s="3">
        <v>185767</v>
      </c>
      <c r="N764" s="4">
        <v>2</v>
      </c>
    </row>
    <row r="765" spans="1:14" x14ac:dyDescent="0.25">
      <c r="A765" s="2">
        <v>4</v>
      </c>
      <c r="B765" s="1" t="s">
        <v>61</v>
      </c>
      <c r="C765" s="1" t="s">
        <v>62</v>
      </c>
      <c r="D765" s="1" t="s">
        <v>63</v>
      </c>
      <c r="E765" s="11" t="s">
        <v>43</v>
      </c>
      <c r="F765" s="12">
        <v>45717</v>
      </c>
      <c r="G765" s="1" t="s">
        <v>16</v>
      </c>
      <c r="H765" s="1" t="s">
        <v>21</v>
      </c>
      <c r="I765" s="2">
        <v>19</v>
      </c>
      <c r="J765" s="3">
        <v>123965</v>
      </c>
      <c r="K765" s="3">
        <v>2355335</v>
      </c>
      <c r="L765" s="3">
        <v>1509077</v>
      </c>
      <c r="M765" s="3">
        <v>846258</v>
      </c>
      <c r="N765" s="4">
        <v>10</v>
      </c>
    </row>
    <row r="766" spans="1:14" x14ac:dyDescent="0.25">
      <c r="A766" s="2">
        <v>4</v>
      </c>
      <c r="B766" s="1" t="s">
        <v>61</v>
      </c>
      <c r="C766" s="1" t="s">
        <v>62</v>
      </c>
      <c r="D766" s="1" t="s">
        <v>64</v>
      </c>
      <c r="E766" s="11" t="s">
        <v>43</v>
      </c>
      <c r="F766" s="12">
        <v>45717</v>
      </c>
      <c r="G766" s="1" t="s">
        <v>22</v>
      </c>
      <c r="H766" s="1" t="s">
        <v>23</v>
      </c>
      <c r="I766" s="2">
        <v>17</v>
      </c>
      <c r="J766" s="3">
        <v>28472</v>
      </c>
      <c r="K766" s="3">
        <v>484024</v>
      </c>
      <c r="L766" s="3">
        <v>254806</v>
      </c>
      <c r="M766" s="3">
        <v>229218</v>
      </c>
      <c r="N766" s="4">
        <v>13</v>
      </c>
    </row>
    <row r="767" spans="1:14" x14ac:dyDescent="0.25">
      <c r="A767" s="2">
        <v>4</v>
      </c>
      <c r="B767" s="1" t="s">
        <v>61</v>
      </c>
      <c r="C767" s="1" t="s">
        <v>62</v>
      </c>
      <c r="D767" s="1" t="s">
        <v>63</v>
      </c>
      <c r="E767" s="11" t="s">
        <v>43</v>
      </c>
      <c r="F767" s="12">
        <v>45717</v>
      </c>
      <c r="G767" s="1" t="s">
        <v>22</v>
      </c>
      <c r="H767" s="1" t="s">
        <v>24</v>
      </c>
      <c r="I767" s="2">
        <v>6</v>
      </c>
      <c r="J767" s="3">
        <v>54518</v>
      </c>
      <c r="K767" s="3">
        <v>327108</v>
      </c>
      <c r="L767" s="3">
        <v>143350</v>
      </c>
      <c r="M767" s="3">
        <v>183758</v>
      </c>
      <c r="N767" s="4">
        <v>8</v>
      </c>
    </row>
    <row r="768" spans="1:14" x14ac:dyDescent="0.25">
      <c r="A768" s="2">
        <v>4</v>
      </c>
      <c r="B768" s="1" t="s">
        <v>61</v>
      </c>
      <c r="C768" s="1" t="s">
        <v>62</v>
      </c>
      <c r="D768" s="1" t="s">
        <v>63</v>
      </c>
      <c r="E768" s="11" t="s">
        <v>43</v>
      </c>
      <c r="F768" s="12">
        <v>45717</v>
      </c>
      <c r="G768" s="1" t="s">
        <v>22</v>
      </c>
      <c r="H768" s="1" t="s">
        <v>25</v>
      </c>
      <c r="I768" s="2">
        <v>19</v>
      </c>
      <c r="J768" s="3">
        <v>142477</v>
      </c>
      <c r="K768" s="3">
        <v>2707063</v>
      </c>
      <c r="L768" s="3">
        <v>1822478</v>
      </c>
      <c r="M768" s="3">
        <v>884585</v>
      </c>
      <c r="N768" s="4">
        <v>9</v>
      </c>
    </row>
    <row r="769" spans="1:14" x14ac:dyDescent="0.25">
      <c r="A769" s="2">
        <v>4</v>
      </c>
      <c r="B769" s="1" t="s">
        <v>61</v>
      </c>
      <c r="C769" s="1" t="s">
        <v>62</v>
      </c>
      <c r="D769" s="1" t="s">
        <v>64</v>
      </c>
      <c r="E769" s="11" t="s">
        <v>43</v>
      </c>
      <c r="F769" s="12">
        <v>45717</v>
      </c>
      <c r="G769" s="1" t="s">
        <v>22</v>
      </c>
      <c r="H769" s="1" t="s">
        <v>26</v>
      </c>
      <c r="I769" s="2">
        <v>19</v>
      </c>
      <c r="J769" s="3">
        <v>44264</v>
      </c>
      <c r="K769" s="3">
        <v>841016</v>
      </c>
      <c r="L769" s="3">
        <v>548206</v>
      </c>
      <c r="M769" s="3">
        <v>292810</v>
      </c>
      <c r="N769" s="4">
        <v>12</v>
      </c>
    </row>
    <row r="770" spans="1:14" x14ac:dyDescent="0.25">
      <c r="A770" s="2">
        <v>4</v>
      </c>
      <c r="B770" s="1" t="s">
        <v>61</v>
      </c>
      <c r="C770" s="1" t="s">
        <v>62</v>
      </c>
      <c r="D770" s="1" t="s">
        <v>63</v>
      </c>
      <c r="E770" s="11" t="s">
        <v>43</v>
      </c>
      <c r="F770" s="12">
        <v>45717</v>
      </c>
      <c r="G770" s="1" t="s">
        <v>27</v>
      </c>
      <c r="H770" s="1" t="s">
        <v>28</v>
      </c>
      <c r="I770" s="2">
        <v>7</v>
      </c>
      <c r="J770" s="3">
        <v>48365</v>
      </c>
      <c r="K770" s="3">
        <v>338555</v>
      </c>
      <c r="L770" s="3">
        <v>209227</v>
      </c>
      <c r="M770" s="3">
        <v>129328</v>
      </c>
      <c r="N770" s="4">
        <v>10</v>
      </c>
    </row>
    <row r="771" spans="1:14" x14ac:dyDescent="0.25">
      <c r="A771" s="2">
        <v>4</v>
      </c>
      <c r="B771" s="1" t="s">
        <v>61</v>
      </c>
      <c r="C771" s="1" t="s">
        <v>62</v>
      </c>
      <c r="D771" s="1" t="s">
        <v>64</v>
      </c>
      <c r="E771" s="11" t="s">
        <v>43</v>
      </c>
      <c r="F771" s="12">
        <v>45717</v>
      </c>
      <c r="G771" s="1" t="s">
        <v>27</v>
      </c>
      <c r="H771" s="1" t="s">
        <v>29</v>
      </c>
      <c r="I771" s="2">
        <v>19</v>
      </c>
      <c r="J771" s="3">
        <v>72142</v>
      </c>
      <c r="K771" s="3">
        <v>1370698</v>
      </c>
      <c r="L771" s="3">
        <v>733258</v>
      </c>
      <c r="M771" s="3">
        <v>637440</v>
      </c>
      <c r="N771" s="4">
        <v>7</v>
      </c>
    </row>
    <row r="772" spans="1:14" x14ac:dyDescent="0.25">
      <c r="A772" s="2">
        <v>4</v>
      </c>
      <c r="B772" s="1" t="s">
        <v>61</v>
      </c>
      <c r="C772" s="1" t="s">
        <v>62</v>
      </c>
      <c r="D772" s="1" t="s">
        <v>64</v>
      </c>
      <c r="E772" s="11" t="s">
        <v>43</v>
      </c>
      <c r="F772" s="12">
        <v>45717</v>
      </c>
      <c r="G772" s="1" t="s">
        <v>27</v>
      </c>
      <c r="H772" s="1" t="s">
        <v>30</v>
      </c>
      <c r="I772" s="2">
        <v>6</v>
      </c>
      <c r="J772" s="3">
        <v>54228</v>
      </c>
      <c r="K772" s="3">
        <v>325368</v>
      </c>
      <c r="L772" s="3">
        <v>182924</v>
      </c>
      <c r="M772" s="3">
        <v>142444</v>
      </c>
      <c r="N772" s="4">
        <v>7</v>
      </c>
    </row>
    <row r="773" spans="1:14" x14ac:dyDescent="0.25">
      <c r="A773" s="2">
        <v>4</v>
      </c>
      <c r="B773" s="1" t="s">
        <v>61</v>
      </c>
      <c r="C773" s="1" t="s">
        <v>62</v>
      </c>
      <c r="D773" s="1" t="s">
        <v>63</v>
      </c>
      <c r="E773" s="11" t="s">
        <v>43</v>
      </c>
      <c r="F773" s="12">
        <v>45717</v>
      </c>
      <c r="G773" s="1" t="s">
        <v>27</v>
      </c>
      <c r="H773" s="1" t="s">
        <v>31</v>
      </c>
      <c r="I773" s="2">
        <v>17</v>
      </c>
      <c r="J773" s="3">
        <v>69437</v>
      </c>
      <c r="K773" s="3">
        <v>1180429</v>
      </c>
      <c r="L773" s="3">
        <v>488505</v>
      </c>
      <c r="M773" s="3">
        <v>691924</v>
      </c>
      <c r="N773" s="4">
        <v>0</v>
      </c>
    </row>
    <row r="774" spans="1:14" x14ac:dyDescent="0.25">
      <c r="A774" s="2">
        <v>4</v>
      </c>
      <c r="B774" s="1" t="s">
        <v>61</v>
      </c>
      <c r="C774" s="1" t="s">
        <v>62</v>
      </c>
      <c r="D774" s="1" t="s">
        <v>64</v>
      </c>
      <c r="E774" s="11" t="s">
        <v>43</v>
      </c>
      <c r="F774" s="12">
        <v>45717</v>
      </c>
      <c r="G774" s="1" t="s">
        <v>32</v>
      </c>
      <c r="H774" s="1" t="s">
        <v>33</v>
      </c>
      <c r="I774" s="2">
        <v>14</v>
      </c>
      <c r="J774" s="3">
        <v>18514</v>
      </c>
      <c r="K774" s="3">
        <v>259196</v>
      </c>
      <c r="L774" s="3">
        <v>109451</v>
      </c>
      <c r="M774" s="3">
        <v>149745</v>
      </c>
      <c r="N774" s="4">
        <v>8</v>
      </c>
    </row>
    <row r="775" spans="1:14" x14ac:dyDescent="0.25">
      <c r="A775" s="2">
        <v>4</v>
      </c>
      <c r="B775" s="1" t="s">
        <v>61</v>
      </c>
      <c r="C775" s="1" t="s">
        <v>62</v>
      </c>
      <c r="D775" s="1" t="s">
        <v>63</v>
      </c>
      <c r="E775" s="11" t="s">
        <v>43</v>
      </c>
      <c r="F775" s="12">
        <v>45717</v>
      </c>
      <c r="G775" s="1" t="s">
        <v>32</v>
      </c>
      <c r="H775" s="1" t="s">
        <v>34</v>
      </c>
      <c r="I775" s="2">
        <v>14</v>
      </c>
      <c r="J775" s="3">
        <v>15461</v>
      </c>
      <c r="K775" s="3">
        <v>216454</v>
      </c>
      <c r="L775" s="3">
        <v>125465</v>
      </c>
      <c r="M775" s="3">
        <v>90989</v>
      </c>
      <c r="N775" s="4">
        <v>10</v>
      </c>
    </row>
    <row r="776" spans="1:14" x14ac:dyDescent="0.25">
      <c r="A776" s="2">
        <v>4</v>
      </c>
      <c r="B776" s="1" t="s">
        <v>61</v>
      </c>
      <c r="C776" s="1" t="s">
        <v>62</v>
      </c>
      <c r="D776" s="1" t="s">
        <v>64</v>
      </c>
      <c r="E776" s="11" t="s">
        <v>43</v>
      </c>
      <c r="F776" s="12">
        <v>45717</v>
      </c>
      <c r="G776" s="1" t="s">
        <v>32</v>
      </c>
      <c r="H776" s="1" t="s">
        <v>35</v>
      </c>
      <c r="I776" s="2">
        <v>4</v>
      </c>
      <c r="J776" s="3">
        <v>5987</v>
      </c>
      <c r="K776" s="3">
        <v>23948</v>
      </c>
      <c r="L776" s="3">
        <v>15702</v>
      </c>
      <c r="M776" s="3">
        <v>8246</v>
      </c>
      <c r="N776" s="4">
        <v>8</v>
      </c>
    </row>
    <row r="777" spans="1:14" x14ac:dyDescent="0.25">
      <c r="A777" s="2">
        <v>4</v>
      </c>
      <c r="B777" s="1" t="s">
        <v>61</v>
      </c>
      <c r="C777" s="1" t="s">
        <v>62</v>
      </c>
      <c r="D777" s="1" t="s">
        <v>64</v>
      </c>
      <c r="E777" s="11" t="s">
        <v>43</v>
      </c>
      <c r="F777" s="12">
        <v>45717</v>
      </c>
      <c r="G777" s="1" t="s">
        <v>32</v>
      </c>
      <c r="H777" s="1" t="s">
        <v>36</v>
      </c>
      <c r="I777" s="2">
        <v>14</v>
      </c>
      <c r="J777" s="3">
        <v>10717</v>
      </c>
      <c r="K777" s="3">
        <v>150038</v>
      </c>
      <c r="L777" s="3">
        <v>100178</v>
      </c>
      <c r="M777" s="3">
        <v>49860</v>
      </c>
      <c r="N777" s="4">
        <v>14</v>
      </c>
    </row>
    <row r="778" spans="1:14" x14ac:dyDescent="0.25">
      <c r="A778" s="2">
        <v>4</v>
      </c>
      <c r="B778" s="1" t="s">
        <v>61</v>
      </c>
      <c r="C778" s="1" t="s">
        <v>62</v>
      </c>
      <c r="D778" s="1" t="s">
        <v>63</v>
      </c>
      <c r="E778" s="11" t="s">
        <v>43</v>
      </c>
      <c r="F778" s="12">
        <v>45717</v>
      </c>
      <c r="G778" s="1" t="s">
        <v>37</v>
      </c>
      <c r="H778" s="1" t="s">
        <v>38</v>
      </c>
      <c r="I778" s="2">
        <v>16</v>
      </c>
      <c r="J778" s="3">
        <v>55292</v>
      </c>
      <c r="K778" s="3">
        <v>884672</v>
      </c>
      <c r="L778" s="3">
        <v>576315</v>
      </c>
      <c r="M778" s="3">
        <v>308357</v>
      </c>
      <c r="N778" s="4">
        <v>13</v>
      </c>
    </row>
    <row r="779" spans="1:14" x14ac:dyDescent="0.25">
      <c r="A779" s="2">
        <v>4</v>
      </c>
      <c r="B779" s="1" t="s">
        <v>61</v>
      </c>
      <c r="C779" s="1" t="s">
        <v>62</v>
      </c>
      <c r="D779" s="1" t="s">
        <v>64</v>
      </c>
      <c r="E779" s="11" t="s">
        <v>43</v>
      </c>
      <c r="F779" s="12">
        <v>45717</v>
      </c>
      <c r="G779" s="1" t="s">
        <v>37</v>
      </c>
      <c r="H779" s="1" t="s">
        <v>39</v>
      </c>
      <c r="I779" s="2">
        <v>12</v>
      </c>
      <c r="J779" s="3">
        <v>74306</v>
      </c>
      <c r="K779" s="3">
        <v>891672</v>
      </c>
      <c r="L779" s="3">
        <v>428299</v>
      </c>
      <c r="M779" s="3">
        <v>463373</v>
      </c>
      <c r="N779" s="4">
        <v>13</v>
      </c>
    </row>
    <row r="780" spans="1:14" x14ac:dyDescent="0.25">
      <c r="A780" s="2">
        <v>4</v>
      </c>
      <c r="B780" s="1" t="s">
        <v>61</v>
      </c>
      <c r="C780" s="1" t="s">
        <v>62</v>
      </c>
      <c r="D780" s="1" t="s">
        <v>64</v>
      </c>
      <c r="E780" s="11" t="s">
        <v>43</v>
      </c>
      <c r="F780" s="12">
        <v>45717</v>
      </c>
      <c r="G780" s="1" t="s">
        <v>37</v>
      </c>
      <c r="H780" s="1" t="s">
        <v>40</v>
      </c>
      <c r="I780" s="2">
        <v>18</v>
      </c>
      <c r="J780" s="3">
        <v>87028</v>
      </c>
      <c r="K780" s="3">
        <v>1566504</v>
      </c>
      <c r="L780" s="3">
        <v>871655</v>
      </c>
      <c r="M780" s="3">
        <v>694849</v>
      </c>
      <c r="N780" s="4">
        <v>4</v>
      </c>
    </row>
    <row r="781" spans="1:14" x14ac:dyDescent="0.25">
      <c r="A781" s="2">
        <v>4</v>
      </c>
      <c r="B781" s="1" t="s">
        <v>61</v>
      </c>
      <c r="C781" s="1" t="s">
        <v>62</v>
      </c>
      <c r="D781" s="1" t="s">
        <v>64</v>
      </c>
      <c r="E781" s="11" t="s">
        <v>43</v>
      </c>
      <c r="F781" s="12">
        <v>45717</v>
      </c>
      <c r="G781" s="1" t="s">
        <v>37</v>
      </c>
      <c r="H781" s="1" t="s">
        <v>41</v>
      </c>
      <c r="I781" s="2">
        <v>16</v>
      </c>
      <c r="J781" s="3">
        <v>78643</v>
      </c>
      <c r="K781" s="3">
        <v>1258288</v>
      </c>
      <c r="L781" s="3">
        <v>586447</v>
      </c>
      <c r="M781" s="3">
        <v>671841</v>
      </c>
      <c r="N781" s="4">
        <v>11</v>
      </c>
    </row>
    <row r="782" spans="1:14" x14ac:dyDescent="0.25">
      <c r="A782" s="2">
        <v>4</v>
      </c>
      <c r="B782" s="1" t="s">
        <v>61</v>
      </c>
      <c r="C782" s="1" t="s">
        <v>62</v>
      </c>
      <c r="D782" s="1" t="s">
        <v>64</v>
      </c>
      <c r="E782" s="11" t="s">
        <v>44</v>
      </c>
      <c r="F782" s="12">
        <v>45748</v>
      </c>
      <c r="G782" s="1" t="s">
        <v>16</v>
      </c>
      <c r="H782" s="1" t="s">
        <v>17</v>
      </c>
      <c r="I782" s="2">
        <v>1</v>
      </c>
      <c r="J782" s="3">
        <v>92692</v>
      </c>
      <c r="K782" s="3">
        <v>92692</v>
      </c>
      <c r="L782" s="3">
        <v>39686</v>
      </c>
      <c r="M782" s="3">
        <v>53006</v>
      </c>
      <c r="N782" s="4">
        <v>12</v>
      </c>
    </row>
    <row r="783" spans="1:14" x14ac:dyDescent="0.25">
      <c r="A783" s="2">
        <v>4</v>
      </c>
      <c r="B783" s="1" t="s">
        <v>61</v>
      </c>
      <c r="C783" s="1" t="s">
        <v>62</v>
      </c>
      <c r="D783" s="1" t="s">
        <v>64</v>
      </c>
      <c r="E783" s="11" t="s">
        <v>44</v>
      </c>
      <c r="F783" s="12">
        <v>45748</v>
      </c>
      <c r="G783" s="1" t="s">
        <v>16</v>
      </c>
      <c r="H783" s="1" t="s">
        <v>19</v>
      </c>
      <c r="I783" s="2">
        <v>9</v>
      </c>
      <c r="J783" s="3">
        <v>66403</v>
      </c>
      <c r="K783" s="3">
        <v>597627</v>
      </c>
      <c r="L783" s="3">
        <v>394771</v>
      </c>
      <c r="M783" s="3">
        <v>202856</v>
      </c>
      <c r="N783" s="4">
        <v>1</v>
      </c>
    </row>
    <row r="784" spans="1:14" x14ac:dyDescent="0.25">
      <c r="A784" s="2">
        <v>4</v>
      </c>
      <c r="B784" s="1" t="s">
        <v>61</v>
      </c>
      <c r="C784" s="1" t="s">
        <v>62</v>
      </c>
      <c r="D784" s="1" t="s">
        <v>63</v>
      </c>
      <c r="E784" s="11" t="s">
        <v>44</v>
      </c>
      <c r="F784" s="12">
        <v>45748</v>
      </c>
      <c r="G784" s="1" t="s">
        <v>16</v>
      </c>
      <c r="H784" s="1" t="s">
        <v>20</v>
      </c>
      <c r="I784" s="2">
        <v>1</v>
      </c>
      <c r="J784" s="3">
        <v>131623</v>
      </c>
      <c r="K784" s="3">
        <v>131623</v>
      </c>
      <c r="L784" s="3">
        <v>73081</v>
      </c>
      <c r="M784" s="3">
        <v>58542</v>
      </c>
      <c r="N784" s="4">
        <v>14</v>
      </c>
    </row>
    <row r="785" spans="1:14" x14ac:dyDescent="0.25">
      <c r="A785" s="2">
        <v>4</v>
      </c>
      <c r="B785" s="1" t="s">
        <v>61</v>
      </c>
      <c r="C785" s="1" t="s">
        <v>62</v>
      </c>
      <c r="D785" s="1" t="s">
        <v>63</v>
      </c>
      <c r="E785" s="11" t="s">
        <v>44</v>
      </c>
      <c r="F785" s="12">
        <v>45748</v>
      </c>
      <c r="G785" s="1" t="s">
        <v>16</v>
      </c>
      <c r="H785" s="1" t="s">
        <v>21</v>
      </c>
      <c r="I785" s="2">
        <v>8</v>
      </c>
      <c r="J785" s="3">
        <v>112491</v>
      </c>
      <c r="K785" s="3">
        <v>899928</v>
      </c>
      <c r="L785" s="3">
        <v>605834</v>
      </c>
      <c r="M785" s="3">
        <v>294094</v>
      </c>
      <c r="N785" s="4">
        <v>13</v>
      </c>
    </row>
    <row r="786" spans="1:14" x14ac:dyDescent="0.25">
      <c r="A786" s="2">
        <v>4</v>
      </c>
      <c r="B786" s="1" t="s">
        <v>61</v>
      </c>
      <c r="C786" s="1" t="s">
        <v>62</v>
      </c>
      <c r="D786" s="1" t="s">
        <v>64</v>
      </c>
      <c r="E786" s="11" t="s">
        <v>44</v>
      </c>
      <c r="F786" s="12">
        <v>45748</v>
      </c>
      <c r="G786" s="1" t="s">
        <v>22</v>
      </c>
      <c r="H786" s="1" t="s">
        <v>23</v>
      </c>
      <c r="I786" s="2">
        <v>15</v>
      </c>
      <c r="J786" s="3">
        <v>69678</v>
      </c>
      <c r="K786" s="3">
        <v>1045170</v>
      </c>
      <c r="L786" s="3">
        <v>606801</v>
      </c>
      <c r="M786" s="3">
        <v>438369</v>
      </c>
      <c r="N786" s="4">
        <v>9</v>
      </c>
    </row>
    <row r="787" spans="1:14" x14ac:dyDescent="0.25">
      <c r="A787" s="2">
        <v>4</v>
      </c>
      <c r="B787" s="1" t="s">
        <v>61</v>
      </c>
      <c r="C787" s="1" t="s">
        <v>62</v>
      </c>
      <c r="D787" s="1" t="s">
        <v>64</v>
      </c>
      <c r="E787" s="11" t="s">
        <v>44</v>
      </c>
      <c r="F787" s="12">
        <v>45748</v>
      </c>
      <c r="G787" s="1" t="s">
        <v>22</v>
      </c>
      <c r="H787" s="1" t="s">
        <v>24</v>
      </c>
      <c r="I787" s="2">
        <v>8</v>
      </c>
      <c r="J787" s="3">
        <v>100404</v>
      </c>
      <c r="K787" s="3">
        <v>803232</v>
      </c>
      <c r="L787" s="3">
        <v>473418</v>
      </c>
      <c r="M787" s="3">
        <v>329814</v>
      </c>
      <c r="N787" s="4">
        <v>3</v>
      </c>
    </row>
    <row r="788" spans="1:14" x14ac:dyDescent="0.25">
      <c r="A788" s="2">
        <v>4</v>
      </c>
      <c r="B788" s="1" t="s">
        <v>61</v>
      </c>
      <c r="C788" s="1" t="s">
        <v>62</v>
      </c>
      <c r="D788" s="1" t="s">
        <v>64</v>
      </c>
      <c r="E788" s="11" t="s">
        <v>44</v>
      </c>
      <c r="F788" s="12">
        <v>45748</v>
      </c>
      <c r="G788" s="1" t="s">
        <v>22</v>
      </c>
      <c r="H788" s="1" t="s">
        <v>25</v>
      </c>
      <c r="I788" s="2">
        <v>19</v>
      </c>
      <c r="J788" s="3">
        <v>48803</v>
      </c>
      <c r="K788" s="3">
        <v>927257</v>
      </c>
      <c r="L788" s="3">
        <v>559069</v>
      </c>
      <c r="M788" s="3">
        <v>368188</v>
      </c>
      <c r="N788" s="4">
        <v>11</v>
      </c>
    </row>
    <row r="789" spans="1:14" x14ac:dyDescent="0.25">
      <c r="A789" s="2">
        <v>4</v>
      </c>
      <c r="B789" s="1" t="s">
        <v>61</v>
      </c>
      <c r="C789" s="1" t="s">
        <v>62</v>
      </c>
      <c r="D789" s="1" t="s">
        <v>64</v>
      </c>
      <c r="E789" s="11" t="s">
        <v>44</v>
      </c>
      <c r="F789" s="12">
        <v>45748</v>
      </c>
      <c r="G789" s="1" t="s">
        <v>22</v>
      </c>
      <c r="H789" s="1" t="s">
        <v>26</v>
      </c>
      <c r="I789" s="2">
        <v>4</v>
      </c>
      <c r="J789" s="3">
        <v>107445</v>
      </c>
      <c r="K789" s="3">
        <v>429780</v>
      </c>
      <c r="L789" s="3">
        <v>273350</v>
      </c>
      <c r="M789" s="3">
        <v>156430</v>
      </c>
      <c r="N789" s="4">
        <v>2</v>
      </c>
    </row>
    <row r="790" spans="1:14" x14ac:dyDescent="0.25">
      <c r="A790" s="2">
        <v>4</v>
      </c>
      <c r="B790" s="1" t="s">
        <v>61</v>
      </c>
      <c r="C790" s="1" t="s">
        <v>62</v>
      </c>
      <c r="D790" s="1" t="s">
        <v>64</v>
      </c>
      <c r="E790" s="11" t="s">
        <v>44</v>
      </c>
      <c r="F790" s="12">
        <v>45748</v>
      </c>
      <c r="G790" s="1" t="s">
        <v>27</v>
      </c>
      <c r="H790" s="1" t="s">
        <v>28</v>
      </c>
      <c r="I790" s="2">
        <v>12</v>
      </c>
      <c r="J790" s="3">
        <v>20193</v>
      </c>
      <c r="K790" s="3">
        <v>242316</v>
      </c>
      <c r="L790" s="3">
        <v>116668</v>
      </c>
      <c r="M790" s="3">
        <v>125648</v>
      </c>
      <c r="N790" s="4">
        <v>10</v>
      </c>
    </row>
    <row r="791" spans="1:14" x14ac:dyDescent="0.25">
      <c r="A791" s="2">
        <v>4</v>
      </c>
      <c r="B791" s="1" t="s">
        <v>61</v>
      </c>
      <c r="C791" s="1" t="s">
        <v>62</v>
      </c>
      <c r="D791" s="1" t="s">
        <v>63</v>
      </c>
      <c r="E791" s="11" t="s">
        <v>44</v>
      </c>
      <c r="F791" s="12">
        <v>45748</v>
      </c>
      <c r="G791" s="1" t="s">
        <v>27</v>
      </c>
      <c r="H791" s="1" t="s">
        <v>29</v>
      </c>
      <c r="I791" s="2">
        <v>9</v>
      </c>
      <c r="J791" s="3">
        <v>62752</v>
      </c>
      <c r="K791" s="3">
        <v>564768</v>
      </c>
      <c r="L791" s="3">
        <v>271477</v>
      </c>
      <c r="M791" s="3">
        <v>293291</v>
      </c>
      <c r="N791" s="4">
        <v>5</v>
      </c>
    </row>
    <row r="792" spans="1:14" x14ac:dyDescent="0.25">
      <c r="A792" s="2">
        <v>4</v>
      </c>
      <c r="B792" s="1" t="s">
        <v>61</v>
      </c>
      <c r="C792" s="1" t="s">
        <v>62</v>
      </c>
      <c r="D792" s="1" t="s">
        <v>63</v>
      </c>
      <c r="E792" s="11" t="s">
        <v>44</v>
      </c>
      <c r="F792" s="12">
        <v>45748</v>
      </c>
      <c r="G792" s="1" t="s">
        <v>27</v>
      </c>
      <c r="H792" s="1" t="s">
        <v>30</v>
      </c>
      <c r="I792" s="2">
        <v>6</v>
      </c>
      <c r="J792" s="3">
        <v>22261</v>
      </c>
      <c r="K792" s="3">
        <v>133566</v>
      </c>
      <c r="L792" s="3">
        <v>63619</v>
      </c>
      <c r="M792" s="3">
        <v>69947</v>
      </c>
      <c r="N792" s="4">
        <v>0</v>
      </c>
    </row>
    <row r="793" spans="1:14" x14ac:dyDescent="0.25">
      <c r="A793" s="2">
        <v>4</v>
      </c>
      <c r="B793" s="1" t="s">
        <v>61</v>
      </c>
      <c r="C793" s="1" t="s">
        <v>62</v>
      </c>
      <c r="D793" s="1" t="s">
        <v>64</v>
      </c>
      <c r="E793" s="11" t="s">
        <v>44</v>
      </c>
      <c r="F793" s="12">
        <v>45748</v>
      </c>
      <c r="G793" s="1" t="s">
        <v>27</v>
      </c>
      <c r="H793" s="1" t="s">
        <v>31</v>
      </c>
      <c r="I793" s="2">
        <v>12</v>
      </c>
      <c r="J793" s="3">
        <v>48933</v>
      </c>
      <c r="K793" s="3">
        <v>587196</v>
      </c>
      <c r="L793" s="3">
        <v>242919</v>
      </c>
      <c r="M793" s="3">
        <v>344277</v>
      </c>
      <c r="N793" s="4">
        <v>7</v>
      </c>
    </row>
    <row r="794" spans="1:14" x14ac:dyDescent="0.25">
      <c r="A794" s="2">
        <v>4</v>
      </c>
      <c r="B794" s="1" t="s">
        <v>61</v>
      </c>
      <c r="C794" s="1" t="s">
        <v>62</v>
      </c>
      <c r="D794" s="1" t="s">
        <v>63</v>
      </c>
      <c r="E794" s="11" t="s">
        <v>44</v>
      </c>
      <c r="F794" s="12">
        <v>45748</v>
      </c>
      <c r="G794" s="1" t="s">
        <v>32</v>
      </c>
      <c r="H794" s="1" t="s">
        <v>33</v>
      </c>
      <c r="I794" s="2">
        <v>19</v>
      </c>
      <c r="J794" s="3">
        <v>8451</v>
      </c>
      <c r="K794" s="3">
        <v>160569</v>
      </c>
      <c r="L794" s="3">
        <v>86850</v>
      </c>
      <c r="M794" s="3">
        <v>73719</v>
      </c>
      <c r="N794" s="4">
        <v>8</v>
      </c>
    </row>
    <row r="795" spans="1:14" x14ac:dyDescent="0.25">
      <c r="A795" s="2">
        <v>4</v>
      </c>
      <c r="B795" s="1" t="s">
        <v>61</v>
      </c>
      <c r="C795" s="1" t="s">
        <v>62</v>
      </c>
      <c r="D795" s="1" t="s">
        <v>64</v>
      </c>
      <c r="E795" s="11" t="s">
        <v>44</v>
      </c>
      <c r="F795" s="12">
        <v>45748</v>
      </c>
      <c r="G795" s="1" t="s">
        <v>32</v>
      </c>
      <c r="H795" s="1" t="s">
        <v>34</v>
      </c>
      <c r="I795" s="2">
        <v>13</v>
      </c>
      <c r="J795" s="3">
        <v>7800</v>
      </c>
      <c r="K795" s="3">
        <v>101400</v>
      </c>
      <c r="L795" s="3">
        <v>59497</v>
      </c>
      <c r="M795" s="3">
        <v>41903</v>
      </c>
      <c r="N795" s="4">
        <v>13</v>
      </c>
    </row>
    <row r="796" spans="1:14" x14ac:dyDescent="0.25">
      <c r="A796" s="2">
        <v>4</v>
      </c>
      <c r="B796" s="1" t="s">
        <v>61</v>
      </c>
      <c r="C796" s="1" t="s">
        <v>62</v>
      </c>
      <c r="D796" s="1" t="s">
        <v>64</v>
      </c>
      <c r="E796" s="11" t="s">
        <v>44</v>
      </c>
      <c r="F796" s="12">
        <v>45748</v>
      </c>
      <c r="G796" s="1" t="s">
        <v>32</v>
      </c>
      <c r="H796" s="1" t="s">
        <v>35</v>
      </c>
      <c r="I796" s="2">
        <v>3</v>
      </c>
      <c r="J796" s="3">
        <v>6455</v>
      </c>
      <c r="K796" s="3">
        <v>19365</v>
      </c>
      <c r="L796" s="3">
        <v>9376</v>
      </c>
      <c r="M796" s="3">
        <v>9989</v>
      </c>
      <c r="N796" s="4">
        <v>7</v>
      </c>
    </row>
    <row r="797" spans="1:14" x14ac:dyDescent="0.25">
      <c r="A797" s="2">
        <v>4</v>
      </c>
      <c r="B797" s="1" t="s">
        <v>61</v>
      </c>
      <c r="C797" s="1" t="s">
        <v>62</v>
      </c>
      <c r="D797" s="1" t="s">
        <v>64</v>
      </c>
      <c r="E797" s="11" t="s">
        <v>44</v>
      </c>
      <c r="F797" s="12">
        <v>45748</v>
      </c>
      <c r="G797" s="1" t="s">
        <v>32</v>
      </c>
      <c r="H797" s="1" t="s">
        <v>36</v>
      </c>
      <c r="I797" s="2">
        <v>17</v>
      </c>
      <c r="J797" s="3">
        <v>11796</v>
      </c>
      <c r="K797" s="3">
        <v>200532</v>
      </c>
      <c r="L797" s="3">
        <v>112518</v>
      </c>
      <c r="M797" s="3">
        <v>88014</v>
      </c>
      <c r="N797" s="4">
        <v>0</v>
      </c>
    </row>
    <row r="798" spans="1:14" x14ac:dyDescent="0.25">
      <c r="A798" s="2">
        <v>4</v>
      </c>
      <c r="B798" s="1" t="s">
        <v>61</v>
      </c>
      <c r="C798" s="1" t="s">
        <v>62</v>
      </c>
      <c r="D798" s="1" t="s">
        <v>64</v>
      </c>
      <c r="E798" s="11" t="s">
        <v>44</v>
      </c>
      <c r="F798" s="12">
        <v>45748</v>
      </c>
      <c r="G798" s="1" t="s">
        <v>37</v>
      </c>
      <c r="H798" s="1" t="s">
        <v>38</v>
      </c>
      <c r="I798" s="2">
        <v>14</v>
      </c>
      <c r="J798" s="3">
        <v>139664</v>
      </c>
      <c r="K798" s="3">
        <v>1955296</v>
      </c>
      <c r="L798" s="3">
        <v>910621</v>
      </c>
      <c r="M798" s="3">
        <v>1044675</v>
      </c>
      <c r="N798" s="4">
        <v>10</v>
      </c>
    </row>
    <row r="799" spans="1:14" x14ac:dyDescent="0.25">
      <c r="A799" s="2">
        <v>4</v>
      </c>
      <c r="B799" s="1" t="s">
        <v>61</v>
      </c>
      <c r="C799" s="1" t="s">
        <v>62</v>
      </c>
      <c r="D799" s="1" t="s">
        <v>64</v>
      </c>
      <c r="E799" s="11" t="s">
        <v>44</v>
      </c>
      <c r="F799" s="12">
        <v>45748</v>
      </c>
      <c r="G799" s="1" t="s">
        <v>37</v>
      </c>
      <c r="H799" s="1" t="s">
        <v>39</v>
      </c>
      <c r="I799" s="2">
        <v>1</v>
      </c>
      <c r="J799" s="3">
        <v>123001</v>
      </c>
      <c r="K799" s="3">
        <v>123001</v>
      </c>
      <c r="L799" s="3">
        <v>66279</v>
      </c>
      <c r="M799" s="3">
        <v>56722</v>
      </c>
      <c r="N799" s="4">
        <v>4</v>
      </c>
    </row>
    <row r="800" spans="1:14" x14ac:dyDescent="0.25">
      <c r="A800" s="2">
        <v>4</v>
      </c>
      <c r="B800" s="1" t="s">
        <v>61</v>
      </c>
      <c r="C800" s="1" t="s">
        <v>62</v>
      </c>
      <c r="D800" s="1" t="s">
        <v>64</v>
      </c>
      <c r="E800" s="11" t="s">
        <v>44</v>
      </c>
      <c r="F800" s="12">
        <v>45748</v>
      </c>
      <c r="G800" s="1" t="s">
        <v>37</v>
      </c>
      <c r="H800" s="1" t="s">
        <v>40</v>
      </c>
      <c r="I800" s="2">
        <v>17</v>
      </c>
      <c r="J800" s="3">
        <v>37087</v>
      </c>
      <c r="K800" s="3">
        <v>630479</v>
      </c>
      <c r="L800" s="3">
        <v>349159</v>
      </c>
      <c r="M800" s="3">
        <v>281320</v>
      </c>
      <c r="N800" s="4">
        <v>10</v>
      </c>
    </row>
    <row r="801" spans="1:14" x14ac:dyDescent="0.25">
      <c r="A801" s="2">
        <v>4</v>
      </c>
      <c r="B801" s="1" t="s">
        <v>61</v>
      </c>
      <c r="C801" s="1" t="s">
        <v>62</v>
      </c>
      <c r="D801" s="1" t="s">
        <v>63</v>
      </c>
      <c r="E801" s="11" t="s">
        <v>44</v>
      </c>
      <c r="F801" s="12">
        <v>45748</v>
      </c>
      <c r="G801" s="1" t="s">
        <v>37</v>
      </c>
      <c r="H801" s="1" t="s">
        <v>41</v>
      </c>
      <c r="I801" s="2">
        <v>9</v>
      </c>
      <c r="J801" s="3">
        <v>70952</v>
      </c>
      <c r="K801" s="3">
        <v>638568</v>
      </c>
      <c r="L801" s="3">
        <v>411879</v>
      </c>
      <c r="M801" s="3">
        <v>226689</v>
      </c>
      <c r="N801" s="4">
        <v>0</v>
      </c>
    </row>
    <row r="802" spans="1:14" x14ac:dyDescent="0.25">
      <c r="A802" s="2">
        <v>4</v>
      </c>
      <c r="B802" s="1" t="s">
        <v>61</v>
      </c>
      <c r="C802" s="1" t="s">
        <v>62</v>
      </c>
      <c r="D802" s="1" t="s">
        <v>64</v>
      </c>
      <c r="E802" s="11" t="s">
        <v>45</v>
      </c>
      <c r="F802" s="12">
        <v>45778</v>
      </c>
      <c r="G802" s="1" t="s">
        <v>16</v>
      </c>
      <c r="H802" s="1" t="s">
        <v>17</v>
      </c>
      <c r="I802" s="2">
        <v>9</v>
      </c>
      <c r="J802" s="3">
        <v>53623</v>
      </c>
      <c r="K802" s="3">
        <v>482607</v>
      </c>
      <c r="L802" s="3">
        <v>270008</v>
      </c>
      <c r="M802" s="3">
        <v>212599</v>
      </c>
      <c r="N802" s="4">
        <v>10</v>
      </c>
    </row>
    <row r="803" spans="1:14" x14ac:dyDescent="0.25">
      <c r="A803" s="2">
        <v>4</v>
      </c>
      <c r="B803" s="1" t="s">
        <v>61</v>
      </c>
      <c r="C803" s="1" t="s">
        <v>62</v>
      </c>
      <c r="D803" s="1" t="s">
        <v>63</v>
      </c>
      <c r="E803" s="11" t="s">
        <v>45</v>
      </c>
      <c r="F803" s="12">
        <v>45778</v>
      </c>
      <c r="G803" s="1" t="s">
        <v>16</v>
      </c>
      <c r="H803" s="1" t="s">
        <v>19</v>
      </c>
      <c r="I803" s="2">
        <v>7</v>
      </c>
      <c r="J803" s="3">
        <v>69334</v>
      </c>
      <c r="K803" s="3">
        <v>485338</v>
      </c>
      <c r="L803" s="3">
        <v>321423</v>
      </c>
      <c r="M803" s="3">
        <v>163915</v>
      </c>
      <c r="N803" s="4">
        <v>12</v>
      </c>
    </row>
    <row r="804" spans="1:14" x14ac:dyDescent="0.25">
      <c r="A804" s="2">
        <v>4</v>
      </c>
      <c r="B804" s="1" t="s">
        <v>61</v>
      </c>
      <c r="C804" s="1" t="s">
        <v>62</v>
      </c>
      <c r="D804" s="1" t="s">
        <v>63</v>
      </c>
      <c r="E804" s="11" t="s">
        <v>45</v>
      </c>
      <c r="F804" s="12">
        <v>45778</v>
      </c>
      <c r="G804" s="1" t="s">
        <v>16</v>
      </c>
      <c r="H804" s="1" t="s">
        <v>20</v>
      </c>
      <c r="I804" s="2">
        <v>11</v>
      </c>
      <c r="J804" s="3">
        <v>119821</v>
      </c>
      <c r="K804" s="3">
        <v>1318031</v>
      </c>
      <c r="L804" s="3">
        <v>919781</v>
      </c>
      <c r="M804" s="3">
        <v>398250</v>
      </c>
      <c r="N804" s="4">
        <v>12</v>
      </c>
    </row>
    <row r="805" spans="1:14" x14ac:dyDescent="0.25">
      <c r="A805" s="2">
        <v>4</v>
      </c>
      <c r="B805" s="1" t="s">
        <v>61</v>
      </c>
      <c r="C805" s="1" t="s">
        <v>62</v>
      </c>
      <c r="D805" s="1" t="s">
        <v>64</v>
      </c>
      <c r="E805" s="11" t="s">
        <v>45</v>
      </c>
      <c r="F805" s="12">
        <v>45778</v>
      </c>
      <c r="G805" s="1" t="s">
        <v>16</v>
      </c>
      <c r="H805" s="1" t="s">
        <v>21</v>
      </c>
      <c r="I805" s="2">
        <v>14</v>
      </c>
      <c r="J805" s="3">
        <v>72780</v>
      </c>
      <c r="K805" s="3">
        <v>1018920</v>
      </c>
      <c r="L805" s="3">
        <v>528180</v>
      </c>
      <c r="M805" s="3">
        <v>490740</v>
      </c>
      <c r="N805" s="4">
        <v>11</v>
      </c>
    </row>
    <row r="806" spans="1:14" x14ac:dyDescent="0.25">
      <c r="A806" s="2">
        <v>4</v>
      </c>
      <c r="B806" s="1" t="s">
        <v>61</v>
      </c>
      <c r="C806" s="1" t="s">
        <v>62</v>
      </c>
      <c r="D806" s="1" t="s">
        <v>64</v>
      </c>
      <c r="E806" s="11" t="s">
        <v>45</v>
      </c>
      <c r="F806" s="12">
        <v>45778</v>
      </c>
      <c r="G806" s="1" t="s">
        <v>22</v>
      </c>
      <c r="H806" s="1" t="s">
        <v>23</v>
      </c>
      <c r="I806" s="2">
        <v>19</v>
      </c>
      <c r="J806" s="3">
        <v>64363</v>
      </c>
      <c r="K806" s="3">
        <v>1222897</v>
      </c>
      <c r="L806" s="3">
        <v>812832</v>
      </c>
      <c r="M806" s="3">
        <v>410065</v>
      </c>
      <c r="N806" s="4">
        <v>12</v>
      </c>
    </row>
    <row r="807" spans="1:14" x14ac:dyDescent="0.25">
      <c r="A807" s="2">
        <v>4</v>
      </c>
      <c r="B807" s="1" t="s">
        <v>61</v>
      </c>
      <c r="C807" s="1" t="s">
        <v>62</v>
      </c>
      <c r="D807" s="1" t="s">
        <v>64</v>
      </c>
      <c r="E807" s="11" t="s">
        <v>45</v>
      </c>
      <c r="F807" s="12">
        <v>45778</v>
      </c>
      <c r="G807" s="1" t="s">
        <v>22</v>
      </c>
      <c r="H807" s="1" t="s">
        <v>24</v>
      </c>
      <c r="I807" s="2">
        <v>13</v>
      </c>
      <c r="J807" s="3">
        <v>129835</v>
      </c>
      <c r="K807" s="3">
        <v>1687855</v>
      </c>
      <c r="L807" s="3">
        <v>1016734</v>
      </c>
      <c r="M807" s="3">
        <v>671121</v>
      </c>
      <c r="N807" s="4">
        <v>0</v>
      </c>
    </row>
    <row r="808" spans="1:14" x14ac:dyDescent="0.25">
      <c r="A808" s="2">
        <v>4</v>
      </c>
      <c r="B808" s="1" t="s">
        <v>61</v>
      </c>
      <c r="C808" s="1" t="s">
        <v>62</v>
      </c>
      <c r="D808" s="1" t="s">
        <v>64</v>
      </c>
      <c r="E808" s="11" t="s">
        <v>45</v>
      </c>
      <c r="F808" s="12">
        <v>45778</v>
      </c>
      <c r="G808" s="1" t="s">
        <v>22</v>
      </c>
      <c r="H808" s="1" t="s">
        <v>25</v>
      </c>
      <c r="I808" s="2">
        <v>13</v>
      </c>
      <c r="J808" s="3">
        <v>84089</v>
      </c>
      <c r="K808" s="3">
        <v>1093157</v>
      </c>
      <c r="L808" s="3">
        <v>750472</v>
      </c>
      <c r="M808" s="3">
        <v>342685</v>
      </c>
      <c r="N808" s="4">
        <v>9</v>
      </c>
    </row>
    <row r="809" spans="1:14" x14ac:dyDescent="0.25">
      <c r="A809" s="2">
        <v>4</v>
      </c>
      <c r="B809" s="1" t="s">
        <v>61</v>
      </c>
      <c r="C809" s="1" t="s">
        <v>62</v>
      </c>
      <c r="D809" s="1" t="s">
        <v>63</v>
      </c>
      <c r="E809" s="11" t="s">
        <v>45</v>
      </c>
      <c r="F809" s="12">
        <v>45778</v>
      </c>
      <c r="G809" s="1" t="s">
        <v>22</v>
      </c>
      <c r="H809" s="1" t="s">
        <v>26</v>
      </c>
      <c r="I809" s="2">
        <v>5</v>
      </c>
      <c r="J809" s="3">
        <v>57383</v>
      </c>
      <c r="K809" s="3">
        <v>286915</v>
      </c>
      <c r="L809" s="3">
        <v>189038</v>
      </c>
      <c r="M809" s="3">
        <v>97877</v>
      </c>
      <c r="N809" s="4">
        <v>13</v>
      </c>
    </row>
    <row r="810" spans="1:14" x14ac:dyDescent="0.25">
      <c r="A810" s="2">
        <v>4</v>
      </c>
      <c r="B810" s="1" t="s">
        <v>61</v>
      </c>
      <c r="C810" s="1" t="s">
        <v>62</v>
      </c>
      <c r="D810" s="1" t="s">
        <v>64</v>
      </c>
      <c r="E810" s="11" t="s">
        <v>45</v>
      </c>
      <c r="F810" s="12">
        <v>45778</v>
      </c>
      <c r="G810" s="1" t="s">
        <v>27</v>
      </c>
      <c r="H810" s="1" t="s">
        <v>28</v>
      </c>
      <c r="I810" s="2">
        <v>13</v>
      </c>
      <c r="J810" s="3">
        <v>141262</v>
      </c>
      <c r="K810" s="3">
        <v>1836406</v>
      </c>
      <c r="L810" s="3">
        <v>767355</v>
      </c>
      <c r="M810" s="3">
        <v>1069051</v>
      </c>
      <c r="N810" s="4">
        <v>14</v>
      </c>
    </row>
    <row r="811" spans="1:14" x14ac:dyDescent="0.25">
      <c r="A811" s="2">
        <v>4</v>
      </c>
      <c r="B811" s="1" t="s">
        <v>61</v>
      </c>
      <c r="C811" s="1" t="s">
        <v>62</v>
      </c>
      <c r="D811" s="1" t="s">
        <v>64</v>
      </c>
      <c r="E811" s="11" t="s">
        <v>45</v>
      </c>
      <c r="F811" s="12">
        <v>45778</v>
      </c>
      <c r="G811" s="1" t="s">
        <v>27</v>
      </c>
      <c r="H811" s="1" t="s">
        <v>29</v>
      </c>
      <c r="I811" s="2">
        <v>18</v>
      </c>
      <c r="J811" s="3">
        <v>66737</v>
      </c>
      <c r="K811" s="3">
        <v>1201266</v>
      </c>
      <c r="L811" s="3">
        <v>521765</v>
      </c>
      <c r="M811" s="3">
        <v>679501</v>
      </c>
      <c r="N811" s="4">
        <v>13</v>
      </c>
    </row>
    <row r="812" spans="1:14" x14ac:dyDescent="0.25">
      <c r="A812" s="2">
        <v>4</v>
      </c>
      <c r="B812" s="1" t="s">
        <v>61</v>
      </c>
      <c r="C812" s="1" t="s">
        <v>62</v>
      </c>
      <c r="D812" s="1" t="s">
        <v>63</v>
      </c>
      <c r="E812" s="11" t="s">
        <v>45</v>
      </c>
      <c r="F812" s="12">
        <v>45778</v>
      </c>
      <c r="G812" s="1" t="s">
        <v>27</v>
      </c>
      <c r="H812" s="1" t="s">
        <v>30</v>
      </c>
      <c r="I812" s="2">
        <v>1</v>
      </c>
      <c r="J812" s="3">
        <v>145566</v>
      </c>
      <c r="K812" s="3">
        <v>145566</v>
      </c>
      <c r="L812" s="3">
        <v>87164</v>
      </c>
      <c r="M812" s="3">
        <v>58402</v>
      </c>
      <c r="N812" s="4">
        <v>4</v>
      </c>
    </row>
    <row r="813" spans="1:14" x14ac:dyDescent="0.25">
      <c r="A813" s="2">
        <v>4</v>
      </c>
      <c r="B813" s="1" t="s">
        <v>61</v>
      </c>
      <c r="C813" s="1" t="s">
        <v>62</v>
      </c>
      <c r="D813" s="1" t="s">
        <v>64</v>
      </c>
      <c r="E813" s="11" t="s">
        <v>45</v>
      </c>
      <c r="F813" s="12">
        <v>45778</v>
      </c>
      <c r="G813" s="1" t="s">
        <v>27</v>
      </c>
      <c r="H813" s="1" t="s">
        <v>31</v>
      </c>
      <c r="I813" s="2">
        <v>19</v>
      </c>
      <c r="J813" s="3">
        <v>54542</v>
      </c>
      <c r="K813" s="3">
        <v>1036298</v>
      </c>
      <c r="L813" s="3">
        <v>544765</v>
      </c>
      <c r="M813" s="3">
        <v>491533</v>
      </c>
      <c r="N813" s="4">
        <v>3</v>
      </c>
    </row>
    <row r="814" spans="1:14" x14ac:dyDescent="0.25">
      <c r="A814" s="2">
        <v>4</v>
      </c>
      <c r="B814" s="1" t="s">
        <v>61</v>
      </c>
      <c r="C814" s="1" t="s">
        <v>62</v>
      </c>
      <c r="D814" s="1" t="s">
        <v>64</v>
      </c>
      <c r="E814" s="11" t="s">
        <v>45</v>
      </c>
      <c r="F814" s="12">
        <v>45778</v>
      </c>
      <c r="G814" s="1" t="s">
        <v>32</v>
      </c>
      <c r="H814" s="1" t="s">
        <v>33</v>
      </c>
      <c r="I814" s="2">
        <v>17</v>
      </c>
      <c r="J814" s="3">
        <v>8808</v>
      </c>
      <c r="K814" s="3">
        <v>149736</v>
      </c>
      <c r="L814" s="3">
        <v>78053</v>
      </c>
      <c r="M814" s="3">
        <v>71683</v>
      </c>
      <c r="N814" s="4">
        <v>2</v>
      </c>
    </row>
    <row r="815" spans="1:14" x14ac:dyDescent="0.25">
      <c r="A815" s="2">
        <v>4</v>
      </c>
      <c r="B815" s="1" t="s">
        <v>61</v>
      </c>
      <c r="C815" s="1" t="s">
        <v>62</v>
      </c>
      <c r="D815" s="1" t="s">
        <v>64</v>
      </c>
      <c r="E815" s="11" t="s">
        <v>45</v>
      </c>
      <c r="F815" s="12">
        <v>45778</v>
      </c>
      <c r="G815" s="1" t="s">
        <v>32</v>
      </c>
      <c r="H815" s="1" t="s">
        <v>34</v>
      </c>
      <c r="I815" s="2">
        <v>15</v>
      </c>
      <c r="J815" s="3">
        <v>19376</v>
      </c>
      <c r="K815" s="3">
        <v>290640</v>
      </c>
      <c r="L815" s="3">
        <v>198366</v>
      </c>
      <c r="M815" s="3">
        <v>92274</v>
      </c>
      <c r="N815" s="4">
        <v>14</v>
      </c>
    </row>
    <row r="816" spans="1:14" x14ac:dyDescent="0.25">
      <c r="A816" s="2">
        <v>4</v>
      </c>
      <c r="B816" s="1" t="s">
        <v>61</v>
      </c>
      <c r="C816" s="1" t="s">
        <v>62</v>
      </c>
      <c r="D816" s="1" t="s">
        <v>63</v>
      </c>
      <c r="E816" s="11" t="s">
        <v>45</v>
      </c>
      <c r="F816" s="12">
        <v>45778</v>
      </c>
      <c r="G816" s="1" t="s">
        <v>32</v>
      </c>
      <c r="H816" s="1" t="s">
        <v>35</v>
      </c>
      <c r="I816" s="2">
        <v>9</v>
      </c>
      <c r="J816" s="3">
        <v>5201</v>
      </c>
      <c r="K816" s="3">
        <v>46809</v>
      </c>
      <c r="L816" s="3">
        <v>23805</v>
      </c>
      <c r="M816" s="3">
        <v>23004</v>
      </c>
      <c r="N816" s="4">
        <v>10</v>
      </c>
    </row>
    <row r="817" spans="1:14" x14ac:dyDescent="0.25">
      <c r="A817" s="2">
        <v>4</v>
      </c>
      <c r="B817" s="1" t="s">
        <v>61</v>
      </c>
      <c r="C817" s="1" t="s">
        <v>62</v>
      </c>
      <c r="D817" s="1" t="s">
        <v>63</v>
      </c>
      <c r="E817" s="11" t="s">
        <v>45</v>
      </c>
      <c r="F817" s="12">
        <v>45778</v>
      </c>
      <c r="G817" s="1" t="s">
        <v>32</v>
      </c>
      <c r="H817" s="1" t="s">
        <v>36</v>
      </c>
      <c r="I817" s="2">
        <v>13</v>
      </c>
      <c r="J817" s="3">
        <v>18577</v>
      </c>
      <c r="K817" s="3">
        <v>241501</v>
      </c>
      <c r="L817" s="3">
        <v>132981</v>
      </c>
      <c r="M817" s="3">
        <v>108520</v>
      </c>
      <c r="N817" s="4">
        <v>2</v>
      </c>
    </row>
    <row r="818" spans="1:14" x14ac:dyDescent="0.25">
      <c r="A818" s="2">
        <v>4</v>
      </c>
      <c r="B818" s="1" t="s">
        <v>61</v>
      </c>
      <c r="C818" s="1" t="s">
        <v>62</v>
      </c>
      <c r="D818" s="1" t="s">
        <v>63</v>
      </c>
      <c r="E818" s="11" t="s">
        <v>45</v>
      </c>
      <c r="F818" s="12">
        <v>45778</v>
      </c>
      <c r="G818" s="1" t="s">
        <v>37</v>
      </c>
      <c r="H818" s="1" t="s">
        <v>38</v>
      </c>
      <c r="I818" s="2">
        <v>9</v>
      </c>
      <c r="J818" s="3">
        <v>125848</v>
      </c>
      <c r="K818" s="3">
        <v>1132632</v>
      </c>
      <c r="L818" s="3">
        <v>505489</v>
      </c>
      <c r="M818" s="3">
        <v>627143</v>
      </c>
      <c r="N818" s="4">
        <v>2</v>
      </c>
    </row>
    <row r="819" spans="1:14" x14ac:dyDescent="0.25">
      <c r="A819" s="2">
        <v>4</v>
      </c>
      <c r="B819" s="1" t="s">
        <v>61</v>
      </c>
      <c r="C819" s="1" t="s">
        <v>62</v>
      </c>
      <c r="D819" s="1" t="s">
        <v>64</v>
      </c>
      <c r="E819" s="11" t="s">
        <v>45</v>
      </c>
      <c r="F819" s="12">
        <v>45778</v>
      </c>
      <c r="G819" s="1" t="s">
        <v>37</v>
      </c>
      <c r="H819" s="1" t="s">
        <v>39</v>
      </c>
      <c r="I819" s="2">
        <v>6</v>
      </c>
      <c r="J819" s="3">
        <v>80058</v>
      </c>
      <c r="K819" s="3">
        <v>480348</v>
      </c>
      <c r="L819" s="3">
        <v>298917</v>
      </c>
      <c r="M819" s="3">
        <v>181431</v>
      </c>
      <c r="N819" s="4">
        <v>12</v>
      </c>
    </row>
    <row r="820" spans="1:14" x14ac:dyDescent="0.25">
      <c r="A820" s="2">
        <v>4</v>
      </c>
      <c r="B820" s="1" t="s">
        <v>61</v>
      </c>
      <c r="C820" s="1" t="s">
        <v>62</v>
      </c>
      <c r="D820" s="1" t="s">
        <v>64</v>
      </c>
      <c r="E820" s="11" t="s">
        <v>45</v>
      </c>
      <c r="F820" s="12">
        <v>45778</v>
      </c>
      <c r="G820" s="1" t="s">
        <v>37</v>
      </c>
      <c r="H820" s="1" t="s">
        <v>40</v>
      </c>
      <c r="I820" s="2">
        <v>6</v>
      </c>
      <c r="J820" s="3">
        <v>53154</v>
      </c>
      <c r="K820" s="3">
        <v>318924</v>
      </c>
      <c r="L820" s="3">
        <v>178658</v>
      </c>
      <c r="M820" s="3">
        <v>140266</v>
      </c>
      <c r="N820" s="4">
        <v>7</v>
      </c>
    </row>
    <row r="821" spans="1:14" x14ac:dyDescent="0.25">
      <c r="A821" s="2">
        <v>4</v>
      </c>
      <c r="B821" s="1" t="s">
        <v>61</v>
      </c>
      <c r="C821" s="1" t="s">
        <v>62</v>
      </c>
      <c r="D821" s="1" t="s">
        <v>64</v>
      </c>
      <c r="E821" s="11" t="s">
        <v>45</v>
      </c>
      <c r="F821" s="12">
        <v>45778</v>
      </c>
      <c r="G821" s="1" t="s">
        <v>37</v>
      </c>
      <c r="H821" s="1" t="s">
        <v>41</v>
      </c>
      <c r="I821" s="2">
        <v>2</v>
      </c>
      <c r="J821" s="3">
        <v>98928</v>
      </c>
      <c r="K821" s="3">
        <v>197856</v>
      </c>
      <c r="L821" s="3">
        <v>120388</v>
      </c>
      <c r="M821" s="3">
        <v>77468</v>
      </c>
      <c r="N821" s="4">
        <v>11</v>
      </c>
    </row>
    <row r="822" spans="1:14" x14ac:dyDescent="0.25">
      <c r="A822" s="2">
        <v>4</v>
      </c>
      <c r="B822" s="1" t="s">
        <v>61</v>
      </c>
      <c r="C822" s="1" t="s">
        <v>62</v>
      </c>
      <c r="D822" s="1" t="s">
        <v>63</v>
      </c>
      <c r="E822" s="11" t="s">
        <v>46</v>
      </c>
      <c r="F822" s="12">
        <v>45809</v>
      </c>
      <c r="G822" s="1" t="s">
        <v>16</v>
      </c>
      <c r="H822" s="1" t="s">
        <v>17</v>
      </c>
      <c r="I822" s="2">
        <v>3</v>
      </c>
      <c r="J822" s="3">
        <v>22282</v>
      </c>
      <c r="K822" s="3">
        <v>66846</v>
      </c>
      <c r="L822" s="3">
        <v>36484</v>
      </c>
      <c r="M822" s="3">
        <v>30362</v>
      </c>
      <c r="N822" s="4">
        <v>12</v>
      </c>
    </row>
    <row r="823" spans="1:14" x14ac:dyDescent="0.25">
      <c r="A823" s="2">
        <v>4</v>
      </c>
      <c r="B823" s="1" t="s">
        <v>61</v>
      </c>
      <c r="C823" s="1" t="s">
        <v>62</v>
      </c>
      <c r="D823" s="1" t="s">
        <v>64</v>
      </c>
      <c r="E823" s="11" t="s">
        <v>46</v>
      </c>
      <c r="F823" s="12">
        <v>45809</v>
      </c>
      <c r="G823" s="1" t="s">
        <v>16</v>
      </c>
      <c r="H823" s="1" t="s">
        <v>19</v>
      </c>
      <c r="I823" s="2">
        <v>15</v>
      </c>
      <c r="J823" s="3">
        <v>51705</v>
      </c>
      <c r="K823" s="3">
        <v>775575</v>
      </c>
      <c r="L823" s="3">
        <v>521993</v>
      </c>
      <c r="M823" s="3">
        <v>253582</v>
      </c>
      <c r="N823" s="4">
        <v>13</v>
      </c>
    </row>
    <row r="824" spans="1:14" x14ac:dyDescent="0.25">
      <c r="A824" s="2">
        <v>4</v>
      </c>
      <c r="B824" s="1" t="s">
        <v>61</v>
      </c>
      <c r="C824" s="1" t="s">
        <v>62</v>
      </c>
      <c r="D824" s="1" t="s">
        <v>64</v>
      </c>
      <c r="E824" s="11" t="s">
        <v>46</v>
      </c>
      <c r="F824" s="12">
        <v>45809</v>
      </c>
      <c r="G824" s="1" t="s">
        <v>16</v>
      </c>
      <c r="H824" s="1" t="s">
        <v>20</v>
      </c>
      <c r="I824" s="2">
        <v>17</v>
      </c>
      <c r="J824" s="3">
        <v>94878</v>
      </c>
      <c r="K824" s="3">
        <v>1612926</v>
      </c>
      <c r="L824" s="3">
        <v>811221</v>
      </c>
      <c r="M824" s="3">
        <v>801705</v>
      </c>
      <c r="N824" s="4">
        <v>6</v>
      </c>
    </row>
    <row r="825" spans="1:14" x14ac:dyDescent="0.25">
      <c r="A825" s="2">
        <v>4</v>
      </c>
      <c r="B825" s="1" t="s">
        <v>61</v>
      </c>
      <c r="C825" s="1" t="s">
        <v>62</v>
      </c>
      <c r="D825" s="1" t="s">
        <v>64</v>
      </c>
      <c r="E825" s="11" t="s">
        <v>46</v>
      </c>
      <c r="F825" s="12">
        <v>45809</v>
      </c>
      <c r="G825" s="1" t="s">
        <v>16</v>
      </c>
      <c r="H825" s="1" t="s">
        <v>21</v>
      </c>
      <c r="I825" s="2">
        <v>6</v>
      </c>
      <c r="J825" s="3">
        <v>120123</v>
      </c>
      <c r="K825" s="3">
        <v>720738</v>
      </c>
      <c r="L825" s="3">
        <v>372057</v>
      </c>
      <c r="M825" s="3">
        <v>348681</v>
      </c>
      <c r="N825" s="4">
        <v>10</v>
      </c>
    </row>
    <row r="826" spans="1:14" x14ac:dyDescent="0.25">
      <c r="A826" s="2">
        <v>4</v>
      </c>
      <c r="B826" s="1" t="s">
        <v>61</v>
      </c>
      <c r="C826" s="1" t="s">
        <v>62</v>
      </c>
      <c r="D826" s="1" t="s">
        <v>63</v>
      </c>
      <c r="E826" s="11" t="s">
        <v>46</v>
      </c>
      <c r="F826" s="12">
        <v>45809</v>
      </c>
      <c r="G826" s="1" t="s">
        <v>22</v>
      </c>
      <c r="H826" s="1" t="s">
        <v>23</v>
      </c>
      <c r="I826" s="2">
        <v>18</v>
      </c>
      <c r="J826" s="3">
        <v>141251</v>
      </c>
      <c r="K826" s="3">
        <v>2542518</v>
      </c>
      <c r="L826" s="3">
        <v>1530316</v>
      </c>
      <c r="M826" s="3">
        <v>1012202</v>
      </c>
      <c r="N826" s="4">
        <v>6</v>
      </c>
    </row>
    <row r="827" spans="1:14" x14ac:dyDescent="0.25">
      <c r="A827" s="2">
        <v>4</v>
      </c>
      <c r="B827" s="1" t="s">
        <v>61</v>
      </c>
      <c r="C827" s="1" t="s">
        <v>62</v>
      </c>
      <c r="D827" s="1" t="s">
        <v>63</v>
      </c>
      <c r="E827" s="11" t="s">
        <v>46</v>
      </c>
      <c r="F827" s="12">
        <v>45809</v>
      </c>
      <c r="G827" s="1" t="s">
        <v>22</v>
      </c>
      <c r="H827" s="1" t="s">
        <v>24</v>
      </c>
      <c r="I827" s="2">
        <v>9</v>
      </c>
      <c r="J827" s="3">
        <v>56788</v>
      </c>
      <c r="K827" s="3">
        <v>511092</v>
      </c>
      <c r="L827" s="3">
        <v>336565</v>
      </c>
      <c r="M827" s="3">
        <v>174527</v>
      </c>
      <c r="N827" s="4">
        <v>13</v>
      </c>
    </row>
    <row r="828" spans="1:14" x14ac:dyDescent="0.25">
      <c r="A828" s="2">
        <v>4</v>
      </c>
      <c r="B828" s="1" t="s">
        <v>61</v>
      </c>
      <c r="C828" s="1" t="s">
        <v>62</v>
      </c>
      <c r="D828" s="1" t="s">
        <v>63</v>
      </c>
      <c r="E828" s="11" t="s">
        <v>46</v>
      </c>
      <c r="F828" s="12">
        <v>45809</v>
      </c>
      <c r="G828" s="1" t="s">
        <v>22</v>
      </c>
      <c r="H828" s="1" t="s">
        <v>25</v>
      </c>
      <c r="I828" s="2">
        <v>12</v>
      </c>
      <c r="J828" s="3">
        <v>62849</v>
      </c>
      <c r="K828" s="3">
        <v>754188</v>
      </c>
      <c r="L828" s="3">
        <v>388611</v>
      </c>
      <c r="M828" s="3">
        <v>365577</v>
      </c>
      <c r="N828" s="4">
        <v>2</v>
      </c>
    </row>
    <row r="829" spans="1:14" x14ac:dyDescent="0.25">
      <c r="A829" s="2">
        <v>4</v>
      </c>
      <c r="B829" s="1" t="s">
        <v>61</v>
      </c>
      <c r="C829" s="1" t="s">
        <v>62</v>
      </c>
      <c r="D829" s="1" t="s">
        <v>63</v>
      </c>
      <c r="E829" s="11" t="s">
        <v>46</v>
      </c>
      <c r="F829" s="12">
        <v>45809</v>
      </c>
      <c r="G829" s="1" t="s">
        <v>22</v>
      </c>
      <c r="H829" s="1" t="s">
        <v>26</v>
      </c>
      <c r="I829" s="2">
        <v>12</v>
      </c>
      <c r="J829" s="3">
        <v>59758</v>
      </c>
      <c r="K829" s="3">
        <v>717096</v>
      </c>
      <c r="L829" s="3">
        <v>450196</v>
      </c>
      <c r="M829" s="3">
        <v>266900</v>
      </c>
      <c r="N829" s="4">
        <v>6</v>
      </c>
    </row>
    <row r="830" spans="1:14" x14ac:dyDescent="0.25">
      <c r="A830" s="2">
        <v>4</v>
      </c>
      <c r="B830" s="1" t="s">
        <v>61</v>
      </c>
      <c r="C830" s="1" t="s">
        <v>62</v>
      </c>
      <c r="D830" s="1" t="s">
        <v>64</v>
      </c>
      <c r="E830" s="11" t="s">
        <v>46</v>
      </c>
      <c r="F830" s="12">
        <v>45809</v>
      </c>
      <c r="G830" s="1" t="s">
        <v>27</v>
      </c>
      <c r="H830" s="1" t="s">
        <v>28</v>
      </c>
      <c r="I830" s="2">
        <v>8</v>
      </c>
      <c r="J830" s="3">
        <v>35434</v>
      </c>
      <c r="K830" s="3">
        <v>283472</v>
      </c>
      <c r="L830" s="3">
        <v>162899</v>
      </c>
      <c r="M830" s="3">
        <v>120573</v>
      </c>
      <c r="N830" s="4">
        <v>9</v>
      </c>
    </row>
    <row r="831" spans="1:14" x14ac:dyDescent="0.25">
      <c r="A831" s="2">
        <v>4</v>
      </c>
      <c r="B831" s="1" t="s">
        <v>61</v>
      </c>
      <c r="C831" s="1" t="s">
        <v>62</v>
      </c>
      <c r="D831" s="1" t="s">
        <v>64</v>
      </c>
      <c r="E831" s="11" t="s">
        <v>46</v>
      </c>
      <c r="F831" s="12">
        <v>45809</v>
      </c>
      <c r="G831" s="1" t="s">
        <v>27</v>
      </c>
      <c r="H831" s="1" t="s">
        <v>29</v>
      </c>
      <c r="I831" s="2">
        <v>4</v>
      </c>
      <c r="J831" s="3">
        <v>148379</v>
      </c>
      <c r="K831" s="3">
        <v>593516</v>
      </c>
      <c r="L831" s="3">
        <v>359980</v>
      </c>
      <c r="M831" s="3">
        <v>233536</v>
      </c>
      <c r="N831" s="4">
        <v>6</v>
      </c>
    </row>
    <row r="832" spans="1:14" x14ac:dyDescent="0.25">
      <c r="A832" s="2">
        <v>4</v>
      </c>
      <c r="B832" s="1" t="s">
        <v>61</v>
      </c>
      <c r="C832" s="1" t="s">
        <v>62</v>
      </c>
      <c r="D832" s="1" t="s">
        <v>63</v>
      </c>
      <c r="E832" s="11" t="s">
        <v>46</v>
      </c>
      <c r="F832" s="12">
        <v>45809</v>
      </c>
      <c r="G832" s="1" t="s">
        <v>27</v>
      </c>
      <c r="H832" s="1" t="s">
        <v>30</v>
      </c>
      <c r="I832" s="2">
        <v>2</v>
      </c>
      <c r="J832" s="3">
        <v>108503</v>
      </c>
      <c r="K832" s="3">
        <v>217006</v>
      </c>
      <c r="L832" s="3">
        <v>97585</v>
      </c>
      <c r="M832" s="3">
        <v>119421</v>
      </c>
      <c r="N832" s="4">
        <v>6</v>
      </c>
    </row>
    <row r="833" spans="1:14" x14ac:dyDescent="0.25">
      <c r="A833" s="2">
        <v>4</v>
      </c>
      <c r="B833" s="1" t="s">
        <v>61</v>
      </c>
      <c r="C833" s="1" t="s">
        <v>62</v>
      </c>
      <c r="D833" s="1" t="s">
        <v>63</v>
      </c>
      <c r="E833" s="11" t="s">
        <v>46</v>
      </c>
      <c r="F833" s="12">
        <v>45809</v>
      </c>
      <c r="G833" s="1" t="s">
        <v>27</v>
      </c>
      <c r="H833" s="1" t="s">
        <v>31</v>
      </c>
      <c r="I833" s="2">
        <v>4</v>
      </c>
      <c r="J833" s="3">
        <v>59332</v>
      </c>
      <c r="K833" s="3">
        <v>237328</v>
      </c>
      <c r="L833" s="3">
        <v>158304</v>
      </c>
      <c r="M833" s="3">
        <v>79024</v>
      </c>
      <c r="N833" s="4">
        <v>0</v>
      </c>
    </row>
    <row r="834" spans="1:14" x14ac:dyDescent="0.25">
      <c r="A834" s="2">
        <v>4</v>
      </c>
      <c r="B834" s="1" t="s">
        <v>61</v>
      </c>
      <c r="C834" s="1" t="s">
        <v>62</v>
      </c>
      <c r="D834" s="1" t="s">
        <v>64</v>
      </c>
      <c r="E834" s="11" t="s">
        <v>46</v>
      </c>
      <c r="F834" s="12">
        <v>45809</v>
      </c>
      <c r="G834" s="1" t="s">
        <v>32</v>
      </c>
      <c r="H834" s="1" t="s">
        <v>33</v>
      </c>
      <c r="I834" s="2">
        <v>15</v>
      </c>
      <c r="J834" s="3">
        <v>16411</v>
      </c>
      <c r="K834" s="3">
        <v>246165</v>
      </c>
      <c r="L834" s="3">
        <v>123557</v>
      </c>
      <c r="M834" s="3">
        <v>122608</v>
      </c>
      <c r="N834" s="4">
        <v>9</v>
      </c>
    </row>
    <row r="835" spans="1:14" x14ac:dyDescent="0.25">
      <c r="A835" s="2">
        <v>4</v>
      </c>
      <c r="B835" s="1" t="s">
        <v>61</v>
      </c>
      <c r="C835" s="1" t="s">
        <v>62</v>
      </c>
      <c r="D835" s="1" t="s">
        <v>64</v>
      </c>
      <c r="E835" s="11" t="s">
        <v>46</v>
      </c>
      <c r="F835" s="12">
        <v>45809</v>
      </c>
      <c r="G835" s="1" t="s">
        <v>32</v>
      </c>
      <c r="H835" s="1" t="s">
        <v>34</v>
      </c>
      <c r="I835" s="2">
        <v>18</v>
      </c>
      <c r="J835" s="3">
        <v>7011</v>
      </c>
      <c r="K835" s="3">
        <v>126198</v>
      </c>
      <c r="L835" s="3">
        <v>50733</v>
      </c>
      <c r="M835" s="3">
        <v>75465</v>
      </c>
      <c r="N835" s="4">
        <v>14</v>
      </c>
    </row>
    <row r="836" spans="1:14" x14ac:dyDescent="0.25">
      <c r="A836" s="2">
        <v>4</v>
      </c>
      <c r="B836" s="1" t="s">
        <v>61</v>
      </c>
      <c r="C836" s="1" t="s">
        <v>62</v>
      </c>
      <c r="D836" s="1" t="s">
        <v>64</v>
      </c>
      <c r="E836" s="11" t="s">
        <v>46</v>
      </c>
      <c r="F836" s="12">
        <v>45809</v>
      </c>
      <c r="G836" s="1" t="s">
        <v>32</v>
      </c>
      <c r="H836" s="1" t="s">
        <v>35</v>
      </c>
      <c r="I836" s="2">
        <v>11</v>
      </c>
      <c r="J836" s="3">
        <v>18104</v>
      </c>
      <c r="K836" s="3">
        <v>199144</v>
      </c>
      <c r="L836" s="3">
        <v>85707</v>
      </c>
      <c r="M836" s="3">
        <v>113437</v>
      </c>
      <c r="N836" s="4">
        <v>4</v>
      </c>
    </row>
    <row r="837" spans="1:14" x14ac:dyDescent="0.25">
      <c r="A837" s="2">
        <v>4</v>
      </c>
      <c r="B837" s="1" t="s">
        <v>61</v>
      </c>
      <c r="C837" s="1" t="s">
        <v>62</v>
      </c>
      <c r="D837" s="1" t="s">
        <v>63</v>
      </c>
      <c r="E837" s="11" t="s">
        <v>46</v>
      </c>
      <c r="F837" s="12">
        <v>45809</v>
      </c>
      <c r="G837" s="1" t="s">
        <v>32</v>
      </c>
      <c r="H837" s="1" t="s">
        <v>36</v>
      </c>
      <c r="I837" s="2">
        <v>8</v>
      </c>
      <c r="J837" s="3">
        <v>5929</v>
      </c>
      <c r="K837" s="3">
        <v>47432</v>
      </c>
      <c r="L837" s="3">
        <v>30950</v>
      </c>
      <c r="M837" s="3">
        <v>16482</v>
      </c>
      <c r="N837" s="4">
        <v>7</v>
      </c>
    </row>
    <row r="838" spans="1:14" x14ac:dyDescent="0.25">
      <c r="A838" s="2">
        <v>4</v>
      </c>
      <c r="B838" s="1" t="s">
        <v>61</v>
      </c>
      <c r="C838" s="1" t="s">
        <v>62</v>
      </c>
      <c r="D838" s="1" t="s">
        <v>64</v>
      </c>
      <c r="E838" s="11" t="s">
        <v>46</v>
      </c>
      <c r="F838" s="12">
        <v>45809</v>
      </c>
      <c r="G838" s="1" t="s">
        <v>37</v>
      </c>
      <c r="H838" s="1" t="s">
        <v>38</v>
      </c>
      <c r="I838" s="2">
        <v>12</v>
      </c>
      <c r="J838" s="3">
        <v>134149</v>
      </c>
      <c r="K838" s="3">
        <v>1609788</v>
      </c>
      <c r="L838" s="3">
        <v>863169</v>
      </c>
      <c r="M838" s="3">
        <v>746619</v>
      </c>
      <c r="N838" s="4">
        <v>3</v>
      </c>
    </row>
    <row r="839" spans="1:14" x14ac:dyDescent="0.25">
      <c r="A839" s="2">
        <v>4</v>
      </c>
      <c r="B839" s="1" t="s">
        <v>61</v>
      </c>
      <c r="C839" s="1" t="s">
        <v>62</v>
      </c>
      <c r="D839" s="1" t="s">
        <v>64</v>
      </c>
      <c r="E839" s="11" t="s">
        <v>46</v>
      </c>
      <c r="F839" s="12">
        <v>45809</v>
      </c>
      <c r="G839" s="1" t="s">
        <v>37</v>
      </c>
      <c r="H839" s="1" t="s">
        <v>39</v>
      </c>
      <c r="I839" s="2">
        <v>17</v>
      </c>
      <c r="J839" s="3">
        <v>103820</v>
      </c>
      <c r="K839" s="3">
        <v>1764940</v>
      </c>
      <c r="L839" s="3">
        <v>1220645</v>
      </c>
      <c r="M839" s="3">
        <v>544295</v>
      </c>
      <c r="N839" s="4">
        <v>13</v>
      </c>
    </row>
    <row r="840" spans="1:14" x14ac:dyDescent="0.25">
      <c r="A840" s="2">
        <v>4</v>
      </c>
      <c r="B840" s="1" t="s">
        <v>61</v>
      </c>
      <c r="C840" s="1" t="s">
        <v>62</v>
      </c>
      <c r="D840" s="1" t="s">
        <v>63</v>
      </c>
      <c r="E840" s="11" t="s">
        <v>46</v>
      </c>
      <c r="F840" s="12">
        <v>45809</v>
      </c>
      <c r="G840" s="1" t="s">
        <v>37</v>
      </c>
      <c r="H840" s="1" t="s">
        <v>40</v>
      </c>
      <c r="I840" s="2">
        <v>3</v>
      </c>
      <c r="J840" s="3">
        <v>140906</v>
      </c>
      <c r="K840" s="3">
        <v>422718</v>
      </c>
      <c r="L840" s="3">
        <v>186307</v>
      </c>
      <c r="M840" s="3">
        <v>236411</v>
      </c>
      <c r="N840" s="4">
        <v>9</v>
      </c>
    </row>
    <row r="841" spans="1:14" x14ac:dyDescent="0.25">
      <c r="A841" s="2">
        <v>4</v>
      </c>
      <c r="B841" s="1" t="s">
        <v>61</v>
      </c>
      <c r="C841" s="1" t="s">
        <v>62</v>
      </c>
      <c r="D841" s="1" t="s">
        <v>64</v>
      </c>
      <c r="E841" s="11" t="s">
        <v>46</v>
      </c>
      <c r="F841" s="12">
        <v>45809</v>
      </c>
      <c r="G841" s="1" t="s">
        <v>37</v>
      </c>
      <c r="H841" s="1" t="s">
        <v>41</v>
      </c>
      <c r="I841" s="2">
        <v>14</v>
      </c>
      <c r="J841" s="3">
        <v>67093</v>
      </c>
      <c r="K841" s="3">
        <v>939302</v>
      </c>
      <c r="L841" s="3">
        <v>636556</v>
      </c>
      <c r="M841" s="3">
        <v>302746</v>
      </c>
      <c r="N841" s="4">
        <v>10</v>
      </c>
    </row>
    <row r="842" spans="1:14" x14ac:dyDescent="0.25">
      <c r="A842" s="2">
        <v>4</v>
      </c>
      <c r="B842" s="1" t="s">
        <v>61</v>
      </c>
      <c r="C842" s="1" t="s">
        <v>62</v>
      </c>
      <c r="D842" s="1" t="s">
        <v>64</v>
      </c>
      <c r="E842" s="11" t="s">
        <v>47</v>
      </c>
      <c r="F842" s="12">
        <v>45839</v>
      </c>
      <c r="G842" s="1" t="s">
        <v>16</v>
      </c>
      <c r="H842" s="1" t="s">
        <v>17</v>
      </c>
      <c r="I842" s="2">
        <v>10</v>
      </c>
      <c r="J842" s="3">
        <v>97362</v>
      </c>
      <c r="K842" s="3">
        <v>973620</v>
      </c>
      <c r="L842" s="3">
        <v>396268</v>
      </c>
      <c r="M842" s="3">
        <v>577352</v>
      </c>
      <c r="N842" s="4">
        <v>10</v>
      </c>
    </row>
    <row r="843" spans="1:14" x14ac:dyDescent="0.25">
      <c r="A843" s="2">
        <v>4</v>
      </c>
      <c r="B843" s="1" t="s">
        <v>61</v>
      </c>
      <c r="C843" s="1" t="s">
        <v>62</v>
      </c>
      <c r="D843" s="1" t="s">
        <v>63</v>
      </c>
      <c r="E843" s="11" t="s">
        <v>47</v>
      </c>
      <c r="F843" s="12">
        <v>45839</v>
      </c>
      <c r="G843" s="1" t="s">
        <v>16</v>
      </c>
      <c r="H843" s="1" t="s">
        <v>19</v>
      </c>
      <c r="I843" s="2">
        <v>15</v>
      </c>
      <c r="J843" s="3">
        <v>139028</v>
      </c>
      <c r="K843" s="3">
        <v>2085420</v>
      </c>
      <c r="L843" s="3">
        <v>1015127</v>
      </c>
      <c r="M843" s="3">
        <v>1070293</v>
      </c>
      <c r="N843" s="4">
        <v>4</v>
      </c>
    </row>
    <row r="844" spans="1:14" x14ac:dyDescent="0.25">
      <c r="A844" s="2">
        <v>4</v>
      </c>
      <c r="B844" s="1" t="s">
        <v>61</v>
      </c>
      <c r="C844" s="1" t="s">
        <v>62</v>
      </c>
      <c r="D844" s="1" t="s">
        <v>64</v>
      </c>
      <c r="E844" s="11" t="s">
        <v>47</v>
      </c>
      <c r="F844" s="12">
        <v>45839</v>
      </c>
      <c r="G844" s="1" t="s">
        <v>16</v>
      </c>
      <c r="H844" s="1" t="s">
        <v>20</v>
      </c>
      <c r="I844" s="2">
        <v>5</v>
      </c>
      <c r="J844" s="3">
        <v>91849</v>
      </c>
      <c r="K844" s="3">
        <v>459245</v>
      </c>
      <c r="L844" s="3">
        <v>235335</v>
      </c>
      <c r="M844" s="3">
        <v>223910</v>
      </c>
      <c r="N844" s="4">
        <v>2</v>
      </c>
    </row>
    <row r="845" spans="1:14" x14ac:dyDescent="0.25">
      <c r="A845" s="2">
        <v>4</v>
      </c>
      <c r="B845" s="1" t="s">
        <v>61</v>
      </c>
      <c r="C845" s="1" t="s">
        <v>62</v>
      </c>
      <c r="D845" s="1" t="s">
        <v>64</v>
      </c>
      <c r="E845" s="11" t="s">
        <v>47</v>
      </c>
      <c r="F845" s="12">
        <v>45839</v>
      </c>
      <c r="G845" s="1" t="s">
        <v>16</v>
      </c>
      <c r="H845" s="1" t="s">
        <v>21</v>
      </c>
      <c r="I845" s="2">
        <v>6</v>
      </c>
      <c r="J845" s="3">
        <v>50403</v>
      </c>
      <c r="K845" s="3">
        <v>302418</v>
      </c>
      <c r="L845" s="3">
        <v>211226</v>
      </c>
      <c r="M845" s="3">
        <v>91192</v>
      </c>
      <c r="N845" s="4">
        <v>8</v>
      </c>
    </row>
    <row r="846" spans="1:14" x14ac:dyDescent="0.25">
      <c r="A846" s="2">
        <v>4</v>
      </c>
      <c r="B846" s="1" t="s">
        <v>61</v>
      </c>
      <c r="C846" s="1" t="s">
        <v>62</v>
      </c>
      <c r="D846" s="1" t="s">
        <v>63</v>
      </c>
      <c r="E846" s="11" t="s">
        <v>47</v>
      </c>
      <c r="F846" s="12">
        <v>45839</v>
      </c>
      <c r="G846" s="1" t="s">
        <v>22</v>
      </c>
      <c r="H846" s="1" t="s">
        <v>23</v>
      </c>
      <c r="I846" s="2">
        <v>17</v>
      </c>
      <c r="J846" s="3">
        <v>45372</v>
      </c>
      <c r="K846" s="3">
        <v>771324</v>
      </c>
      <c r="L846" s="3">
        <v>375265</v>
      </c>
      <c r="M846" s="3">
        <v>396059</v>
      </c>
      <c r="N846" s="4">
        <v>14</v>
      </c>
    </row>
    <row r="847" spans="1:14" x14ac:dyDescent="0.25">
      <c r="A847" s="2">
        <v>4</v>
      </c>
      <c r="B847" s="1" t="s">
        <v>61</v>
      </c>
      <c r="C847" s="1" t="s">
        <v>62</v>
      </c>
      <c r="D847" s="1" t="s">
        <v>64</v>
      </c>
      <c r="E847" s="11" t="s">
        <v>47</v>
      </c>
      <c r="F847" s="12">
        <v>45839</v>
      </c>
      <c r="G847" s="1" t="s">
        <v>22</v>
      </c>
      <c r="H847" s="1" t="s">
        <v>24</v>
      </c>
      <c r="I847" s="2">
        <v>17</v>
      </c>
      <c r="J847" s="3">
        <v>79500</v>
      </c>
      <c r="K847" s="3">
        <v>1351500</v>
      </c>
      <c r="L847" s="3">
        <v>934187</v>
      </c>
      <c r="M847" s="3">
        <v>417313</v>
      </c>
      <c r="N847" s="4">
        <v>5</v>
      </c>
    </row>
    <row r="848" spans="1:14" x14ac:dyDescent="0.25">
      <c r="A848" s="2">
        <v>4</v>
      </c>
      <c r="B848" s="1" t="s">
        <v>61</v>
      </c>
      <c r="C848" s="1" t="s">
        <v>62</v>
      </c>
      <c r="D848" s="1" t="s">
        <v>64</v>
      </c>
      <c r="E848" s="11" t="s">
        <v>47</v>
      </c>
      <c r="F848" s="12">
        <v>45839</v>
      </c>
      <c r="G848" s="1" t="s">
        <v>22</v>
      </c>
      <c r="H848" s="1" t="s">
        <v>25</v>
      </c>
      <c r="I848" s="2">
        <v>4</v>
      </c>
      <c r="J848" s="3">
        <v>47716</v>
      </c>
      <c r="K848" s="3">
        <v>190864</v>
      </c>
      <c r="L848" s="3">
        <v>85171</v>
      </c>
      <c r="M848" s="3">
        <v>105693</v>
      </c>
      <c r="N848" s="4">
        <v>0</v>
      </c>
    </row>
    <row r="849" spans="1:14" x14ac:dyDescent="0.25">
      <c r="A849" s="2">
        <v>4</v>
      </c>
      <c r="B849" s="1" t="s">
        <v>61</v>
      </c>
      <c r="C849" s="1" t="s">
        <v>62</v>
      </c>
      <c r="D849" s="1" t="s">
        <v>63</v>
      </c>
      <c r="E849" s="11" t="s">
        <v>47</v>
      </c>
      <c r="F849" s="12">
        <v>45839</v>
      </c>
      <c r="G849" s="1" t="s">
        <v>22</v>
      </c>
      <c r="H849" s="1" t="s">
        <v>26</v>
      </c>
      <c r="I849" s="2">
        <v>13</v>
      </c>
      <c r="J849" s="3">
        <v>96449</v>
      </c>
      <c r="K849" s="3">
        <v>1253837</v>
      </c>
      <c r="L849" s="3">
        <v>564854</v>
      </c>
      <c r="M849" s="3">
        <v>688983</v>
      </c>
      <c r="N849" s="4">
        <v>4</v>
      </c>
    </row>
    <row r="850" spans="1:14" x14ac:dyDescent="0.25">
      <c r="A850" s="2">
        <v>4</v>
      </c>
      <c r="B850" s="1" t="s">
        <v>61</v>
      </c>
      <c r="C850" s="1" t="s">
        <v>62</v>
      </c>
      <c r="D850" s="1" t="s">
        <v>63</v>
      </c>
      <c r="E850" s="11" t="s">
        <v>47</v>
      </c>
      <c r="F850" s="12">
        <v>45839</v>
      </c>
      <c r="G850" s="1" t="s">
        <v>27</v>
      </c>
      <c r="H850" s="1" t="s">
        <v>28</v>
      </c>
      <c r="I850" s="2">
        <v>19</v>
      </c>
      <c r="J850" s="3">
        <v>84386</v>
      </c>
      <c r="K850" s="3">
        <v>1603334</v>
      </c>
      <c r="L850" s="3">
        <v>786755</v>
      </c>
      <c r="M850" s="3">
        <v>816579</v>
      </c>
      <c r="N850" s="4">
        <v>12</v>
      </c>
    </row>
    <row r="851" spans="1:14" x14ac:dyDescent="0.25">
      <c r="A851" s="2">
        <v>4</v>
      </c>
      <c r="B851" s="1" t="s">
        <v>61</v>
      </c>
      <c r="C851" s="1" t="s">
        <v>62</v>
      </c>
      <c r="D851" s="1" t="s">
        <v>64</v>
      </c>
      <c r="E851" s="11" t="s">
        <v>47</v>
      </c>
      <c r="F851" s="12">
        <v>45839</v>
      </c>
      <c r="G851" s="1" t="s">
        <v>27</v>
      </c>
      <c r="H851" s="1" t="s">
        <v>29</v>
      </c>
      <c r="I851" s="2">
        <v>19</v>
      </c>
      <c r="J851" s="3">
        <v>90393</v>
      </c>
      <c r="K851" s="3">
        <v>1717467</v>
      </c>
      <c r="L851" s="3">
        <v>716689</v>
      </c>
      <c r="M851" s="3">
        <v>1000778</v>
      </c>
      <c r="N851" s="4">
        <v>13</v>
      </c>
    </row>
    <row r="852" spans="1:14" x14ac:dyDescent="0.25">
      <c r="A852" s="2">
        <v>4</v>
      </c>
      <c r="B852" s="1" t="s">
        <v>61</v>
      </c>
      <c r="C852" s="1" t="s">
        <v>62</v>
      </c>
      <c r="D852" s="1" t="s">
        <v>63</v>
      </c>
      <c r="E852" s="11" t="s">
        <v>47</v>
      </c>
      <c r="F852" s="12">
        <v>45839</v>
      </c>
      <c r="G852" s="1" t="s">
        <v>27</v>
      </c>
      <c r="H852" s="1" t="s">
        <v>30</v>
      </c>
      <c r="I852" s="2">
        <v>12</v>
      </c>
      <c r="J852" s="3">
        <v>111668</v>
      </c>
      <c r="K852" s="3">
        <v>1340016</v>
      </c>
      <c r="L852" s="3">
        <v>924510</v>
      </c>
      <c r="M852" s="3">
        <v>415506</v>
      </c>
      <c r="N852" s="4">
        <v>6</v>
      </c>
    </row>
    <row r="853" spans="1:14" x14ac:dyDescent="0.25">
      <c r="A853" s="2">
        <v>4</v>
      </c>
      <c r="B853" s="1" t="s">
        <v>61</v>
      </c>
      <c r="C853" s="1" t="s">
        <v>62</v>
      </c>
      <c r="D853" s="1" t="s">
        <v>63</v>
      </c>
      <c r="E853" s="11" t="s">
        <v>47</v>
      </c>
      <c r="F853" s="12">
        <v>45839</v>
      </c>
      <c r="G853" s="1" t="s">
        <v>27</v>
      </c>
      <c r="H853" s="1" t="s">
        <v>31</v>
      </c>
      <c r="I853" s="2">
        <v>4</v>
      </c>
      <c r="J853" s="3">
        <v>95250</v>
      </c>
      <c r="K853" s="3">
        <v>381000</v>
      </c>
      <c r="L853" s="3">
        <v>171287</v>
      </c>
      <c r="M853" s="3">
        <v>209713</v>
      </c>
      <c r="N853" s="4">
        <v>14</v>
      </c>
    </row>
    <row r="854" spans="1:14" x14ac:dyDescent="0.25">
      <c r="A854" s="2">
        <v>4</v>
      </c>
      <c r="B854" s="1" t="s">
        <v>61</v>
      </c>
      <c r="C854" s="1" t="s">
        <v>62</v>
      </c>
      <c r="D854" s="1" t="s">
        <v>63</v>
      </c>
      <c r="E854" s="11" t="s">
        <v>47</v>
      </c>
      <c r="F854" s="12">
        <v>45839</v>
      </c>
      <c r="G854" s="1" t="s">
        <v>32</v>
      </c>
      <c r="H854" s="1" t="s">
        <v>33</v>
      </c>
      <c r="I854" s="2">
        <v>3</v>
      </c>
      <c r="J854" s="3">
        <v>10004</v>
      </c>
      <c r="K854" s="3">
        <v>30012</v>
      </c>
      <c r="L854" s="3">
        <v>17643</v>
      </c>
      <c r="M854" s="3">
        <v>12369</v>
      </c>
      <c r="N854" s="4">
        <v>10</v>
      </c>
    </row>
    <row r="855" spans="1:14" x14ac:dyDescent="0.25">
      <c r="A855" s="2">
        <v>4</v>
      </c>
      <c r="B855" s="1" t="s">
        <v>61</v>
      </c>
      <c r="C855" s="1" t="s">
        <v>62</v>
      </c>
      <c r="D855" s="1" t="s">
        <v>63</v>
      </c>
      <c r="E855" s="11" t="s">
        <v>47</v>
      </c>
      <c r="F855" s="12">
        <v>45839</v>
      </c>
      <c r="G855" s="1" t="s">
        <v>32</v>
      </c>
      <c r="H855" s="1" t="s">
        <v>34</v>
      </c>
      <c r="I855" s="2">
        <v>4</v>
      </c>
      <c r="J855" s="3">
        <v>19770</v>
      </c>
      <c r="K855" s="3">
        <v>79080</v>
      </c>
      <c r="L855" s="3">
        <v>50193</v>
      </c>
      <c r="M855" s="3">
        <v>28887</v>
      </c>
      <c r="N855" s="4">
        <v>2</v>
      </c>
    </row>
    <row r="856" spans="1:14" x14ac:dyDescent="0.25">
      <c r="A856" s="2">
        <v>4</v>
      </c>
      <c r="B856" s="1" t="s">
        <v>61</v>
      </c>
      <c r="C856" s="1" t="s">
        <v>62</v>
      </c>
      <c r="D856" s="1" t="s">
        <v>64</v>
      </c>
      <c r="E856" s="11" t="s">
        <v>47</v>
      </c>
      <c r="F856" s="12">
        <v>45839</v>
      </c>
      <c r="G856" s="1" t="s">
        <v>32</v>
      </c>
      <c r="H856" s="1" t="s">
        <v>35</v>
      </c>
      <c r="I856" s="2">
        <v>18</v>
      </c>
      <c r="J856" s="3">
        <v>7151</v>
      </c>
      <c r="K856" s="3">
        <v>128718</v>
      </c>
      <c r="L856" s="3">
        <v>64068</v>
      </c>
      <c r="M856" s="3">
        <v>64650</v>
      </c>
      <c r="N856" s="4">
        <v>7</v>
      </c>
    </row>
    <row r="857" spans="1:14" x14ac:dyDescent="0.25">
      <c r="A857" s="2">
        <v>4</v>
      </c>
      <c r="B857" s="1" t="s">
        <v>61</v>
      </c>
      <c r="C857" s="1" t="s">
        <v>62</v>
      </c>
      <c r="D857" s="1" t="s">
        <v>64</v>
      </c>
      <c r="E857" s="11" t="s">
        <v>47</v>
      </c>
      <c r="F857" s="12">
        <v>45839</v>
      </c>
      <c r="G857" s="1" t="s">
        <v>32</v>
      </c>
      <c r="H857" s="1" t="s">
        <v>36</v>
      </c>
      <c r="I857" s="2">
        <v>19</v>
      </c>
      <c r="J857" s="3">
        <v>17452</v>
      </c>
      <c r="K857" s="3">
        <v>331588</v>
      </c>
      <c r="L857" s="3">
        <v>205334</v>
      </c>
      <c r="M857" s="3">
        <v>126254</v>
      </c>
      <c r="N857" s="4">
        <v>7</v>
      </c>
    </row>
    <row r="858" spans="1:14" x14ac:dyDescent="0.25">
      <c r="A858" s="2">
        <v>4</v>
      </c>
      <c r="B858" s="1" t="s">
        <v>61</v>
      </c>
      <c r="C858" s="1" t="s">
        <v>62</v>
      </c>
      <c r="D858" s="1" t="s">
        <v>63</v>
      </c>
      <c r="E858" s="11" t="s">
        <v>47</v>
      </c>
      <c r="F858" s="12">
        <v>45839</v>
      </c>
      <c r="G858" s="1" t="s">
        <v>37</v>
      </c>
      <c r="H858" s="1" t="s">
        <v>38</v>
      </c>
      <c r="I858" s="2">
        <v>5</v>
      </c>
      <c r="J858" s="3">
        <v>110768</v>
      </c>
      <c r="K858" s="3">
        <v>553840</v>
      </c>
      <c r="L858" s="3">
        <v>339650</v>
      </c>
      <c r="M858" s="3">
        <v>214190</v>
      </c>
      <c r="N858" s="4">
        <v>5</v>
      </c>
    </row>
    <row r="859" spans="1:14" x14ac:dyDescent="0.25">
      <c r="A859" s="2">
        <v>4</v>
      </c>
      <c r="B859" s="1" t="s">
        <v>61</v>
      </c>
      <c r="C859" s="1" t="s">
        <v>62</v>
      </c>
      <c r="D859" s="1" t="s">
        <v>63</v>
      </c>
      <c r="E859" s="11" t="s">
        <v>47</v>
      </c>
      <c r="F859" s="12">
        <v>45839</v>
      </c>
      <c r="G859" s="1" t="s">
        <v>37</v>
      </c>
      <c r="H859" s="1" t="s">
        <v>39</v>
      </c>
      <c r="I859" s="2">
        <v>19</v>
      </c>
      <c r="J859" s="3">
        <v>95774</v>
      </c>
      <c r="K859" s="3">
        <v>1819706</v>
      </c>
      <c r="L859" s="3">
        <v>1254157</v>
      </c>
      <c r="M859" s="3">
        <v>565549</v>
      </c>
      <c r="N859" s="4">
        <v>4</v>
      </c>
    </row>
    <row r="860" spans="1:14" x14ac:dyDescent="0.25">
      <c r="A860" s="2">
        <v>4</v>
      </c>
      <c r="B860" s="1" t="s">
        <v>61</v>
      </c>
      <c r="C860" s="1" t="s">
        <v>62</v>
      </c>
      <c r="D860" s="1" t="s">
        <v>64</v>
      </c>
      <c r="E860" s="11" t="s">
        <v>47</v>
      </c>
      <c r="F860" s="12">
        <v>45839</v>
      </c>
      <c r="G860" s="1" t="s">
        <v>37</v>
      </c>
      <c r="H860" s="1" t="s">
        <v>40</v>
      </c>
      <c r="I860" s="2">
        <v>2</v>
      </c>
      <c r="J860" s="3">
        <v>44842</v>
      </c>
      <c r="K860" s="3">
        <v>89684</v>
      </c>
      <c r="L860" s="3">
        <v>45383</v>
      </c>
      <c r="M860" s="3">
        <v>44301</v>
      </c>
      <c r="N860" s="4">
        <v>14</v>
      </c>
    </row>
    <row r="861" spans="1:14" x14ac:dyDescent="0.25">
      <c r="A861" s="2">
        <v>4</v>
      </c>
      <c r="B861" s="1" t="s">
        <v>61</v>
      </c>
      <c r="C861" s="1" t="s">
        <v>62</v>
      </c>
      <c r="D861" s="1" t="s">
        <v>63</v>
      </c>
      <c r="E861" s="11" t="s">
        <v>47</v>
      </c>
      <c r="F861" s="12">
        <v>45839</v>
      </c>
      <c r="G861" s="1" t="s">
        <v>37</v>
      </c>
      <c r="H861" s="1" t="s">
        <v>41</v>
      </c>
      <c r="I861" s="2">
        <v>12</v>
      </c>
      <c r="J861" s="3">
        <v>96021</v>
      </c>
      <c r="K861" s="3">
        <v>1152252</v>
      </c>
      <c r="L861" s="3">
        <v>506064</v>
      </c>
      <c r="M861" s="3">
        <v>646188</v>
      </c>
      <c r="N861" s="4">
        <v>10</v>
      </c>
    </row>
    <row r="862" spans="1:14" x14ac:dyDescent="0.25">
      <c r="A862" s="2">
        <v>4</v>
      </c>
      <c r="B862" s="1" t="s">
        <v>61</v>
      </c>
      <c r="C862" s="1" t="s">
        <v>62</v>
      </c>
      <c r="D862" s="1" t="s">
        <v>64</v>
      </c>
      <c r="E862" s="11" t="s">
        <v>48</v>
      </c>
      <c r="F862" s="12">
        <v>45870</v>
      </c>
      <c r="G862" s="1" t="s">
        <v>16</v>
      </c>
      <c r="H862" s="1" t="s">
        <v>17</v>
      </c>
      <c r="I862" s="2">
        <v>7</v>
      </c>
      <c r="J862" s="3">
        <v>36859</v>
      </c>
      <c r="K862" s="3">
        <v>258013</v>
      </c>
      <c r="L862" s="3">
        <v>107674</v>
      </c>
      <c r="M862" s="3">
        <v>150339</v>
      </c>
      <c r="N862" s="4">
        <v>7</v>
      </c>
    </row>
    <row r="863" spans="1:14" x14ac:dyDescent="0.25">
      <c r="A863" s="2">
        <v>4</v>
      </c>
      <c r="B863" s="1" t="s">
        <v>61</v>
      </c>
      <c r="C863" s="1" t="s">
        <v>62</v>
      </c>
      <c r="D863" s="1" t="s">
        <v>63</v>
      </c>
      <c r="E863" s="11" t="s">
        <v>48</v>
      </c>
      <c r="F863" s="12">
        <v>45870</v>
      </c>
      <c r="G863" s="1" t="s">
        <v>16</v>
      </c>
      <c r="H863" s="1" t="s">
        <v>19</v>
      </c>
      <c r="I863" s="2">
        <v>9</v>
      </c>
      <c r="J863" s="3">
        <v>86093</v>
      </c>
      <c r="K863" s="3">
        <v>774837</v>
      </c>
      <c r="L863" s="3">
        <v>317945</v>
      </c>
      <c r="M863" s="3">
        <v>456892</v>
      </c>
      <c r="N863" s="4">
        <v>5</v>
      </c>
    </row>
    <row r="864" spans="1:14" x14ac:dyDescent="0.25">
      <c r="A864" s="2">
        <v>4</v>
      </c>
      <c r="B864" s="1" t="s">
        <v>61</v>
      </c>
      <c r="C864" s="1" t="s">
        <v>62</v>
      </c>
      <c r="D864" s="1" t="s">
        <v>64</v>
      </c>
      <c r="E864" s="11" t="s">
        <v>48</v>
      </c>
      <c r="F864" s="12">
        <v>45870</v>
      </c>
      <c r="G864" s="1" t="s">
        <v>16</v>
      </c>
      <c r="H864" s="1" t="s">
        <v>20</v>
      </c>
      <c r="I864" s="2">
        <v>17</v>
      </c>
      <c r="J864" s="3">
        <v>86418</v>
      </c>
      <c r="K864" s="3">
        <v>1469106</v>
      </c>
      <c r="L864" s="3">
        <v>791558</v>
      </c>
      <c r="M864" s="3">
        <v>677548</v>
      </c>
      <c r="N864" s="4">
        <v>11</v>
      </c>
    </row>
    <row r="865" spans="1:14" x14ac:dyDescent="0.25">
      <c r="A865" s="2">
        <v>4</v>
      </c>
      <c r="B865" s="1" t="s">
        <v>61</v>
      </c>
      <c r="C865" s="1" t="s">
        <v>62</v>
      </c>
      <c r="D865" s="1" t="s">
        <v>64</v>
      </c>
      <c r="E865" s="11" t="s">
        <v>48</v>
      </c>
      <c r="F865" s="12">
        <v>45870</v>
      </c>
      <c r="G865" s="1" t="s">
        <v>16</v>
      </c>
      <c r="H865" s="1" t="s">
        <v>21</v>
      </c>
      <c r="I865" s="2">
        <v>12</v>
      </c>
      <c r="J865" s="3">
        <v>76115</v>
      </c>
      <c r="K865" s="3">
        <v>913380</v>
      </c>
      <c r="L865" s="3">
        <v>601976</v>
      </c>
      <c r="M865" s="3">
        <v>311404</v>
      </c>
      <c r="N865" s="4">
        <v>14</v>
      </c>
    </row>
    <row r="866" spans="1:14" x14ac:dyDescent="0.25">
      <c r="A866" s="2">
        <v>4</v>
      </c>
      <c r="B866" s="1" t="s">
        <v>61</v>
      </c>
      <c r="C866" s="1" t="s">
        <v>62</v>
      </c>
      <c r="D866" s="1" t="s">
        <v>63</v>
      </c>
      <c r="E866" s="11" t="s">
        <v>48</v>
      </c>
      <c r="F866" s="12">
        <v>45870</v>
      </c>
      <c r="G866" s="1" t="s">
        <v>22</v>
      </c>
      <c r="H866" s="1" t="s">
        <v>23</v>
      </c>
      <c r="I866" s="2">
        <v>4</v>
      </c>
      <c r="J866" s="3">
        <v>92805</v>
      </c>
      <c r="K866" s="3">
        <v>371220</v>
      </c>
      <c r="L866" s="3">
        <v>206670</v>
      </c>
      <c r="M866" s="3">
        <v>164550</v>
      </c>
      <c r="N866" s="4">
        <v>13</v>
      </c>
    </row>
    <row r="867" spans="1:14" x14ac:dyDescent="0.25">
      <c r="A867" s="2">
        <v>4</v>
      </c>
      <c r="B867" s="1" t="s">
        <v>61</v>
      </c>
      <c r="C867" s="1" t="s">
        <v>62</v>
      </c>
      <c r="D867" s="1" t="s">
        <v>64</v>
      </c>
      <c r="E867" s="11" t="s">
        <v>48</v>
      </c>
      <c r="F867" s="12">
        <v>45870</v>
      </c>
      <c r="G867" s="1" t="s">
        <v>22</v>
      </c>
      <c r="H867" s="1" t="s">
        <v>24</v>
      </c>
      <c r="I867" s="2">
        <v>15</v>
      </c>
      <c r="J867" s="3">
        <v>71098</v>
      </c>
      <c r="K867" s="3">
        <v>1066470</v>
      </c>
      <c r="L867" s="3">
        <v>590165</v>
      </c>
      <c r="M867" s="3">
        <v>476305</v>
      </c>
      <c r="N867" s="4">
        <v>8</v>
      </c>
    </row>
    <row r="868" spans="1:14" x14ac:dyDescent="0.25">
      <c r="A868" s="2">
        <v>4</v>
      </c>
      <c r="B868" s="1" t="s">
        <v>61</v>
      </c>
      <c r="C868" s="1" t="s">
        <v>62</v>
      </c>
      <c r="D868" s="1" t="s">
        <v>63</v>
      </c>
      <c r="E868" s="11" t="s">
        <v>48</v>
      </c>
      <c r="F868" s="12">
        <v>45870</v>
      </c>
      <c r="G868" s="1" t="s">
        <v>22</v>
      </c>
      <c r="H868" s="1" t="s">
        <v>25</v>
      </c>
      <c r="I868" s="2">
        <v>19</v>
      </c>
      <c r="J868" s="3">
        <v>56593</v>
      </c>
      <c r="K868" s="3">
        <v>1075267</v>
      </c>
      <c r="L868" s="3">
        <v>664208</v>
      </c>
      <c r="M868" s="3">
        <v>411059</v>
      </c>
      <c r="N868" s="4">
        <v>4</v>
      </c>
    </row>
    <row r="869" spans="1:14" x14ac:dyDescent="0.25">
      <c r="A869" s="2">
        <v>4</v>
      </c>
      <c r="B869" s="1" t="s">
        <v>61</v>
      </c>
      <c r="C869" s="1" t="s">
        <v>62</v>
      </c>
      <c r="D869" s="1" t="s">
        <v>63</v>
      </c>
      <c r="E869" s="11" t="s">
        <v>48</v>
      </c>
      <c r="F869" s="12">
        <v>45870</v>
      </c>
      <c r="G869" s="1" t="s">
        <v>22</v>
      </c>
      <c r="H869" s="1" t="s">
        <v>26</v>
      </c>
      <c r="I869" s="2">
        <v>14</v>
      </c>
      <c r="J869" s="3">
        <v>89338</v>
      </c>
      <c r="K869" s="3">
        <v>1250732</v>
      </c>
      <c r="L869" s="3">
        <v>653226</v>
      </c>
      <c r="M869" s="3">
        <v>597506</v>
      </c>
      <c r="N869" s="4">
        <v>2</v>
      </c>
    </row>
    <row r="870" spans="1:14" x14ac:dyDescent="0.25">
      <c r="A870" s="2">
        <v>4</v>
      </c>
      <c r="B870" s="1" t="s">
        <v>61</v>
      </c>
      <c r="C870" s="1" t="s">
        <v>62</v>
      </c>
      <c r="D870" s="1" t="s">
        <v>64</v>
      </c>
      <c r="E870" s="11" t="s">
        <v>48</v>
      </c>
      <c r="F870" s="12">
        <v>45870</v>
      </c>
      <c r="G870" s="1" t="s">
        <v>27</v>
      </c>
      <c r="H870" s="1" t="s">
        <v>28</v>
      </c>
      <c r="I870" s="2">
        <v>15</v>
      </c>
      <c r="J870" s="3">
        <v>26142</v>
      </c>
      <c r="K870" s="3">
        <v>392130</v>
      </c>
      <c r="L870" s="3">
        <v>226424</v>
      </c>
      <c r="M870" s="3">
        <v>165706</v>
      </c>
      <c r="N870" s="4">
        <v>6</v>
      </c>
    </row>
    <row r="871" spans="1:14" x14ac:dyDescent="0.25">
      <c r="A871" s="2">
        <v>4</v>
      </c>
      <c r="B871" s="1" t="s">
        <v>61</v>
      </c>
      <c r="C871" s="1" t="s">
        <v>62</v>
      </c>
      <c r="D871" s="1" t="s">
        <v>64</v>
      </c>
      <c r="E871" s="11" t="s">
        <v>48</v>
      </c>
      <c r="F871" s="12">
        <v>45870</v>
      </c>
      <c r="G871" s="1" t="s">
        <v>27</v>
      </c>
      <c r="H871" s="1" t="s">
        <v>29</v>
      </c>
      <c r="I871" s="2">
        <v>13</v>
      </c>
      <c r="J871" s="3">
        <v>73410</v>
      </c>
      <c r="K871" s="3">
        <v>954330</v>
      </c>
      <c r="L871" s="3">
        <v>439127</v>
      </c>
      <c r="M871" s="3">
        <v>515203</v>
      </c>
      <c r="N871" s="4">
        <v>8</v>
      </c>
    </row>
    <row r="872" spans="1:14" x14ac:dyDescent="0.25">
      <c r="A872" s="2">
        <v>4</v>
      </c>
      <c r="B872" s="1" t="s">
        <v>61</v>
      </c>
      <c r="C872" s="1" t="s">
        <v>62</v>
      </c>
      <c r="D872" s="1" t="s">
        <v>63</v>
      </c>
      <c r="E872" s="11" t="s">
        <v>48</v>
      </c>
      <c r="F872" s="12">
        <v>45870</v>
      </c>
      <c r="G872" s="1" t="s">
        <v>27</v>
      </c>
      <c r="H872" s="1" t="s">
        <v>30</v>
      </c>
      <c r="I872" s="2">
        <v>8</v>
      </c>
      <c r="J872" s="3">
        <v>102035</v>
      </c>
      <c r="K872" s="3">
        <v>816280</v>
      </c>
      <c r="L872" s="3">
        <v>327287</v>
      </c>
      <c r="M872" s="3">
        <v>488993</v>
      </c>
      <c r="N872" s="4">
        <v>0</v>
      </c>
    </row>
    <row r="873" spans="1:14" x14ac:dyDescent="0.25">
      <c r="A873" s="2">
        <v>4</v>
      </c>
      <c r="B873" s="1" t="s">
        <v>61</v>
      </c>
      <c r="C873" s="1" t="s">
        <v>62</v>
      </c>
      <c r="D873" s="1" t="s">
        <v>63</v>
      </c>
      <c r="E873" s="11" t="s">
        <v>48</v>
      </c>
      <c r="F873" s="12">
        <v>45870</v>
      </c>
      <c r="G873" s="1" t="s">
        <v>27</v>
      </c>
      <c r="H873" s="1" t="s">
        <v>31</v>
      </c>
      <c r="I873" s="2">
        <v>17</v>
      </c>
      <c r="J873" s="3">
        <v>35072</v>
      </c>
      <c r="K873" s="3">
        <v>596224</v>
      </c>
      <c r="L873" s="3">
        <v>398234</v>
      </c>
      <c r="M873" s="3">
        <v>197990</v>
      </c>
      <c r="N873" s="4">
        <v>2</v>
      </c>
    </row>
    <row r="874" spans="1:14" x14ac:dyDescent="0.25">
      <c r="A874" s="2">
        <v>4</v>
      </c>
      <c r="B874" s="1" t="s">
        <v>61</v>
      </c>
      <c r="C874" s="1" t="s">
        <v>62</v>
      </c>
      <c r="D874" s="1" t="s">
        <v>63</v>
      </c>
      <c r="E874" s="11" t="s">
        <v>48</v>
      </c>
      <c r="F874" s="12">
        <v>45870</v>
      </c>
      <c r="G874" s="1" t="s">
        <v>32</v>
      </c>
      <c r="H874" s="1" t="s">
        <v>33</v>
      </c>
      <c r="I874" s="2">
        <v>6</v>
      </c>
      <c r="J874" s="3">
        <v>10442</v>
      </c>
      <c r="K874" s="3">
        <v>62652</v>
      </c>
      <c r="L874" s="3">
        <v>33487</v>
      </c>
      <c r="M874" s="3">
        <v>29165</v>
      </c>
      <c r="N874" s="4">
        <v>12</v>
      </c>
    </row>
    <row r="875" spans="1:14" x14ac:dyDescent="0.25">
      <c r="A875" s="2">
        <v>4</v>
      </c>
      <c r="B875" s="1" t="s">
        <v>61</v>
      </c>
      <c r="C875" s="1" t="s">
        <v>62</v>
      </c>
      <c r="D875" s="1" t="s">
        <v>63</v>
      </c>
      <c r="E875" s="11" t="s">
        <v>48</v>
      </c>
      <c r="F875" s="12">
        <v>45870</v>
      </c>
      <c r="G875" s="1" t="s">
        <v>32</v>
      </c>
      <c r="H875" s="1" t="s">
        <v>34</v>
      </c>
      <c r="I875" s="2">
        <v>15</v>
      </c>
      <c r="J875" s="3">
        <v>12661</v>
      </c>
      <c r="K875" s="3">
        <v>189915</v>
      </c>
      <c r="L875" s="3">
        <v>88542</v>
      </c>
      <c r="M875" s="3">
        <v>101373</v>
      </c>
      <c r="N875" s="4">
        <v>6</v>
      </c>
    </row>
    <row r="876" spans="1:14" x14ac:dyDescent="0.25">
      <c r="A876" s="2">
        <v>4</v>
      </c>
      <c r="B876" s="1" t="s">
        <v>61</v>
      </c>
      <c r="C876" s="1" t="s">
        <v>62</v>
      </c>
      <c r="D876" s="1" t="s">
        <v>63</v>
      </c>
      <c r="E876" s="11" t="s">
        <v>48</v>
      </c>
      <c r="F876" s="12">
        <v>45870</v>
      </c>
      <c r="G876" s="1" t="s">
        <v>32</v>
      </c>
      <c r="H876" s="1" t="s">
        <v>35</v>
      </c>
      <c r="I876" s="2">
        <v>16</v>
      </c>
      <c r="J876" s="3">
        <v>6137</v>
      </c>
      <c r="K876" s="3">
        <v>98192</v>
      </c>
      <c r="L876" s="3">
        <v>53323</v>
      </c>
      <c r="M876" s="3">
        <v>44869</v>
      </c>
      <c r="N876" s="4">
        <v>12</v>
      </c>
    </row>
    <row r="877" spans="1:14" x14ac:dyDescent="0.25">
      <c r="A877" s="2">
        <v>4</v>
      </c>
      <c r="B877" s="1" t="s">
        <v>61</v>
      </c>
      <c r="C877" s="1" t="s">
        <v>62</v>
      </c>
      <c r="D877" s="1" t="s">
        <v>64</v>
      </c>
      <c r="E877" s="11" t="s">
        <v>48</v>
      </c>
      <c r="F877" s="12">
        <v>45870</v>
      </c>
      <c r="G877" s="1" t="s">
        <v>32</v>
      </c>
      <c r="H877" s="1" t="s">
        <v>36</v>
      </c>
      <c r="I877" s="2">
        <v>11</v>
      </c>
      <c r="J877" s="3">
        <v>8906</v>
      </c>
      <c r="K877" s="3">
        <v>97966</v>
      </c>
      <c r="L877" s="3">
        <v>59539</v>
      </c>
      <c r="M877" s="3">
        <v>38427</v>
      </c>
      <c r="N877" s="4">
        <v>9</v>
      </c>
    </row>
    <row r="878" spans="1:14" x14ac:dyDescent="0.25">
      <c r="A878" s="2">
        <v>4</v>
      </c>
      <c r="B878" s="1" t="s">
        <v>61</v>
      </c>
      <c r="C878" s="1" t="s">
        <v>62</v>
      </c>
      <c r="D878" s="1" t="s">
        <v>63</v>
      </c>
      <c r="E878" s="11" t="s">
        <v>48</v>
      </c>
      <c r="F878" s="12">
        <v>45870</v>
      </c>
      <c r="G878" s="1" t="s">
        <v>37</v>
      </c>
      <c r="H878" s="1" t="s">
        <v>38</v>
      </c>
      <c r="I878" s="2">
        <v>16</v>
      </c>
      <c r="J878" s="3">
        <v>37611</v>
      </c>
      <c r="K878" s="3">
        <v>601776</v>
      </c>
      <c r="L878" s="3">
        <v>385937</v>
      </c>
      <c r="M878" s="3">
        <v>215839</v>
      </c>
      <c r="N878" s="4">
        <v>7</v>
      </c>
    </row>
    <row r="879" spans="1:14" x14ac:dyDescent="0.25">
      <c r="A879" s="2">
        <v>4</v>
      </c>
      <c r="B879" s="1" t="s">
        <v>61</v>
      </c>
      <c r="C879" s="1" t="s">
        <v>62</v>
      </c>
      <c r="D879" s="1" t="s">
        <v>63</v>
      </c>
      <c r="E879" s="11" t="s">
        <v>48</v>
      </c>
      <c r="F879" s="12">
        <v>45870</v>
      </c>
      <c r="G879" s="1" t="s">
        <v>37</v>
      </c>
      <c r="H879" s="1" t="s">
        <v>39</v>
      </c>
      <c r="I879" s="2">
        <v>3</v>
      </c>
      <c r="J879" s="3">
        <v>69847</v>
      </c>
      <c r="K879" s="3">
        <v>209541</v>
      </c>
      <c r="L879" s="3">
        <v>117044</v>
      </c>
      <c r="M879" s="3">
        <v>92497</v>
      </c>
      <c r="N879" s="4">
        <v>13</v>
      </c>
    </row>
    <row r="880" spans="1:14" x14ac:dyDescent="0.25">
      <c r="A880" s="2">
        <v>4</v>
      </c>
      <c r="B880" s="1" t="s">
        <v>61</v>
      </c>
      <c r="C880" s="1" t="s">
        <v>62</v>
      </c>
      <c r="D880" s="1" t="s">
        <v>63</v>
      </c>
      <c r="E880" s="11" t="s">
        <v>48</v>
      </c>
      <c r="F880" s="12">
        <v>45870</v>
      </c>
      <c r="G880" s="1" t="s">
        <v>37</v>
      </c>
      <c r="H880" s="1" t="s">
        <v>40</v>
      </c>
      <c r="I880" s="2">
        <v>15</v>
      </c>
      <c r="J880" s="3">
        <v>47810</v>
      </c>
      <c r="K880" s="3">
        <v>717150</v>
      </c>
      <c r="L880" s="3">
        <v>501536</v>
      </c>
      <c r="M880" s="3">
        <v>215614</v>
      </c>
      <c r="N880" s="4">
        <v>7</v>
      </c>
    </row>
    <row r="881" spans="1:14" x14ac:dyDescent="0.25">
      <c r="A881" s="2">
        <v>4</v>
      </c>
      <c r="B881" s="1" t="s">
        <v>61</v>
      </c>
      <c r="C881" s="1" t="s">
        <v>62</v>
      </c>
      <c r="D881" s="1" t="s">
        <v>63</v>
      </c>
      <c r="E881" s="11" t="s">
        <v>48</v>
      </c>
      <c r="F881" s="12">
        <v>45870</v>
      </c>
      <c r="G881" s="1" t="s">
        <v>37</v>
      </c>
      <c r="H881" s="1" t="s">
        <v>41</v>
      </c>
      <c r="I881" s="2">
        <v>17</v>
      </c>
      <c r="J881" s="3">
        <v>146439</v>
      </c>
      <c r="K881" s="3">
        <v>2489463</v>
      </c>
      <c r="L881" s="3">
        <v>1215818</v>
      </c>
      <c r="M881" s="3">
        <v>1273645</v>
      </c>
      <c r="N881" s="4">
        <v>6</v>
      </c>
    </row>
    <row r="882" spans="1:14" x14ac:dyDescent="0.25">
      <c r="A882" s="2">
        <v>4</v>
      </c>
      <c r="B882" s="1" t="s">
        <v>61</v>
      </c>
      <c r="C882" s="1" t="s">
        <v>62</v>
      </c>
      <c r="D882" s="1" t="s">
        <v>64</v>
      </c>
      <c r="E882" s="11" t="s">
        <v>49</v>
      </c>
      <c r="F882" s="12">
        <v>45901</v>
      </c>
      <c r="G882" s="1" t="s">
        <v>16</v>
      </c>
      <c r="H882" s="1" t="s">
        <v>17</v>
      </c>
      <c r="I882" s="2">
        <v>3</v>
      </c>
      <c r="J882" s="3">
        <v>86624</v>
      </c>
      <c r="K882" s="3">
        <v>259872</v>
      </c>
      <c r="L882" s="3">
        <v>130594</v>
      </c>
      <c r="M882" s="3">
        <v>129278</v>
      </c>
      <c r="N882" s="4">
        <v>4</v>
      </c>
    </row>
    <row r="883" spans="1:14" x14ac:dyDescent="0.25">
      <c r="A883" s="2">
        <v>4</v>
      </c>
      <c r="B883" s="1" t="s">
        <v>61</v>
      </c>
      <c r="C883" s="1" t="s">
        <v>62</v>
      </c>
      <c r="D883" s="1" t="s">
        <v>63</v>
      </c>
      <c r="E883" s="11" t="s">
        <v>49</v>
      </c>
      <c r="F883" s="12">
        <v>45901</v>
      </c>
      <c r="G883" s="1" t="s">
        <v>16</v>
      </c>
      <c r="H883" s="1" t="s">
        <v>19</v>
      </c>
      <c r="I883" s="2">
        <v>1</v>
      </c>
      <c r="J883" s="3">
        <v>145838</v>
      </c>
      <c r="K883" s="3">
        <v>145838</v>
      </c>
      <c r="L883" s="3">
        <v>64585</v>
      </c>
      <c r="M883" s="3">
        <v>81253</v>
      </c>
      <c r="N883" s="4">
        <v>7</v>
      </c>
    </row>
    <row r="884" spans="1:14" x14ac:dyDescent="0.25">
      <c r="A884" s="2">
        <v>4</v>
      </c>
      <c r="B884" s="1" t="s">
        <v>61</v>
      </c>
      <c r="C884" s="1" t="s">
        <v>62</v>
      </c>
      <c r="D884" s="1" t="s">
        <v>63</v>
      </c>
      <c r="E884" s="11" t="s">
        <v>49</v>
      </c>
      <c r="F884" s="12">
        <v>45901</v>
      </c>
      <c r="G884" s="1" t="s">
        <v>16</v>
      </c>
      <c r="H884" s="1" t="s">
        <v>20</v>
      </c>
      <c r="I884" s="2">
        <v>8</v>
      </c>
      <c r="J884" s="3">
        <v>28068</v>
      </c>
      <c r="K884" s="3">
        <v>224544</v>
      </c>
      <c r="L884" s="3">
        <v>145185</v>
      </c>
      <c r="M884" s="3">
        <v>79359</v>
      </c>
      <c r="N884" s="4">
        <v>8</v>
      </c>
    </row>
    <row r="885" spans="1:14" x14ac:dyDescent="0.25">
      <c r="A885" s="2">
        <v>4</v>
      </c>
      <c r="B885" s="1" t="s">
        <v>61</v>
      </c>
      <c r="C885" s="1" t="s">
        <v>62</v>
      </c>
      <c r="D885" s="1" t="s">
        <v>64</v>
      </c>
      <c r="E885" s="11" t="s">
        <v>49</v>
      </c>
      <c r="F885" s="12">
        <v>45901</v>
      </c>
      <c r="G885" s="1" t="s">
        <v>16</v>
      </c>
      <c r="H885" s="1" t="s">
        <v>21</v>
      </c>
      <c r="I885" s="2">
        <v>1</v>
      </c>
      <c r="J885" s="3">
        <v>40131</v>
      </c>
      <c r="K885" s="3">
        <v>40131</v>
      </c>
      <c r="L885" s="3">
        <v>24480</v>
      </c>
      <c r="M885" s="3">
        <v>15651</v>
      </c>
      <c r="N885" s="4">
        <v>14</v>
      </c>
    </row>
    <row r="886" spans="1:14" x14ac:dyDescent="0.25">
      <c r="A886" s="2">
        <v>4</v>
      </c>
      <c r="B886" s="1" t="s">
        <v>61</v>
      </c>
      <c r="C886" s="1" t="s">
        <v>62</v>
      </c>
      <c r="D886" s="1" t="s">
        <v>64</v>
      </c>
      <c r="E886" s="11" t="s">
        <v>49</v>
      </c>
      <c r="F886" s="12">
        <v>45901</v>
      </c>
      <c r="G886" s="1" t="s">
        <v>22</v>
      </c>
      <c r="H886" s="1" t="s">
        <v>23</v>
      </c>
      <c r="I886" s="2">
        <v>8</v>
      </c>
      <c r="J886" s="3">
        <v>113718</v>
      </c>
      <c r="K886" s="3">
        <v>909744</v>
      </c>
      <c r="L886" s="3">
        <v>496982</v>
      </c>
      <c r="M886" s="3">
        <v>412762</v>
      </c>
      <c r="N886" s="4">
        <v>13</v>
      </c>
    </row>
    <row r="887" spans="1:14" x14ac:dyDescent="0.25">
      <c r="A887" s="2">
        <v>4</v>
      </c>
      <c r="B887" s="1" t="s">
        <v>61</v>
      </c>
      <c r="C887" s="1" t="s">
        <v>62</v>
      </c>
      <c r="D887" s="1" t="s">
        <v>64</v>
      </c>
      <c r="E887" s="11" t="s">
        <v>49</v>
      </c>
      <c r="F887" s="12">
        <v>45901</v>
      </c>
      <c r="G887" s="1" t="s">
        <v>22</v>
      </c>
      <c r="H887" s="1" t="s">
        <v>24</v>
      </c>
      <c r="I887" s="2">
        <v>14</v>
      </c>
      <c r="J887" s="3">
        <v>68511</v>
      </c>
      <c r="K887" s="3">
        <v>959154</v>
      </c>
      <c r="L887" s="3">
        <v>581460</v>
      </c>
      <c r="M887" s="3">
        <v>377694</v>
      </c>
      <c r="N887" s="4">
        <v>14</v>
      </c>
    </row>
    <row r="888" spans="1:14" x14ac:dyDescent="0.25">
      <c r="A888" s="2">
        <v>4</v>
      </c>
      <c r="B888" s="1" t="s">
        <v>61</v>
      </c>
      <c r="C888" s="1" t="s">
        <v>62</v>
      </c>
      <c r="D888" s="1" t="s">
        <v>63</v>
      </c>
      <c r="E888" s="11" t="s">
        <v>49</v>
      </c>
      <c r="F888" s="12">
        <v>45901</v>
      </c>
      <c r="G888" s="1" t="s">
        <v>22</v>
      </c>
      <c r="H888" s="1" t="s">
        <v>25</v>
      </c>
      <c r="I888" s="2">
        <v>6</v>
      </c>
      <c r="J888" s="3">
        <v>86634</v>
      </c>
      <c r="K888" s="3">
        <v>519804</v>
      </c>
      <c r="L888" s="3">
        <v>262317</v>
      </c>
      <c r="M888" s="3">
        <v>257487</v>
      </c>
      <c r="N888" s="4">
        <v>2</v>
      </c>
    </row>
    <row r="889" spans="1:14" x14ac:dyDescent="0.25">
      <c r="A889" s="2">
        <v>4</v>
      </c>
      <c r="B889" s="1" t="s">
        <v>61</v>
      </c>
      <c r="C889" s="1" t="s">
        <v>62</v>
      </c>
      <c r="D889" s="1" t="s">
        <v>64</v>
      </c>
      <c r="E889" s="11" t="s">
        <v>49</v>
      </c>
      <c r="F889" s="12">
        <v>45901</v>
      </c>
      <c r="G889" s="1" t="s">
        <v>22</v>
      </c>
      <c r="H889" s="1" t="s">
        <v>26</v>
      </c>
      <c r="I889" s="2">
        <v>14</v>
      </c>
      <c r="J889" s="3">
        <v>52955</v>
      </c>
      <c r="K889" s="3">
        <v>741370</v>
      </c>
      <c r="L889" s="3">
        <v>424888</v>
      </c>
      <c r="M889" s="3">
        <v>316482</v>
      </c>
      <c r="N889" s="4">
        <v>1</v>
      </c>
    </row>
    <row r="890" spans="1:14" x14ac:dyDescent="0.25">
      <c r="A890" s="2">
        <v>4</v>
      </c>
      <c r="B890" s="1" t="s">
        <v>61</v>
      </c>
      <c r="C890" s="1" t="s">
        <v>62</v>
      </c>
      <c r="D890" s="1" t="s">
        <v>63</v>
      </c>
      <c r="E890" s="11" t="s">
        <v>49</v>
      </c>
      <c r="F890" s="12">
        <v>45901</v>
      </c>
      <c r="G890" s="1" t="s">
        <v>27</v>
      </c>
      <c r="H890" s="1" t="s">
        <v>28</v>
      </c>
      <c r="I890" s="2">
        <v>13</v>
      </c>
      <c r="J890" s="3">
        <v>48220</v>
      </c>
      <c r="K890" s="3">
        <v>626860</v>
      </c>
      <c r="L890" s="3">
        <v>269726</v>
      </c>
      <c r="M890" s="3">
        <v>357134</v>
      </c>
      <c r="N890" s="4">
        <v>5</v>
      </c>
    </row>
    <row r="891" spans="1:14" x14ac:dyDescent="0.25">
      <c r="A891" s="2">
        <v>4</v>
      </c>
      <c r="B891" s="1" t="s">
        <v>61</v>
      </c>
      <c r="C891" s="1" t="s">
        <v>62</v>
      </c>
      <c r="D891" s="1" t="s">
        <v>63</v>
      </c>
      <c r="E891" s="11" t="s">
        <v>49</v>
      </c>
      <c r="F891" s="12">
        <v>45901</v>
      </c>
      <c r="G891" s="1" t="s">
        <v>27</v>
      </c>
      <c r="H891" s="1" t="s">
        <v>29</v>
      </c>
      <c r="I891" s="2">
        <v>16</v>
      </c>
      <c r="J891" s="3">
        <v>90721</v>
      </c>
      <c r="K891" s="3">
        <v>1451536</v>
      </c>
      <c r="L891" s="3">
        <v>614084</v>
      </c>
      <c r="M891" s="3">
        <v>837452</v>
      </c>
      <c r="N891" s="4">
        <v>6</v>
      </c>
    </row>
    <row r="892" spans="1:14" x14ac:dyDescent="0.25">
      <c r="A892" s="2">
        <v>4</v>
      </c>
      <c r="B892" s="1" t="s">
        <v>61</v>
      </c>
      <c r="C892" s="1" t="s">
        <v>62</v>
      </c>
      <c r="D892" s="1" t="s">
        <v>64</v>
      </c>
      <c r="E892" s="11" t="s">
        <v>49</v>
      </c>
      <c r="F892" s="12">
        <v>45901</v>
      </c>
      <c r="G892" s="1" t="s">
        <v>27</v>
      </c>
      <c r="H892" s="1" t="s">
        <v>30</v>
      </c>
      <c r="I892" s="2">
        <v>2</v>
      </c>
      <c r="J892" s="3">
        <v>109833</v>
      </c>
      <c r="K892" s="3">
        <v>219666</v>
      </c>
      <c r="L892" s="3">
        <v>103829</v>
      </c>
      <c r="M892" s="3">
        <v>115837</v>
      </c>
      <c r="N892" s="4">
        <v>5</v>
      </c>
    </row>
    <row r="893" spans="1:14" x14ac:dyDescent="0.25">
      <c r="A893" s="2">
        <v>4</v>
      </c>
      <c r="B893" s="1" t="s">
        <v>61</v>
      </c>
      <c r="C893" s="1" t="s">
        <v>62</v>
      </c>
      <c r="D893" s="1" t="s">
        <v>63</v>
      </c>
      <c r="E893" s="11" t="s">
        <v>49</v>
      </c>
      <c r="F893" s="12">
        <v>45901</v>
      </c>
      <c r="G893" s="1" t="s">
        <v>27</v>
      </c>
      <c r="H893" s="1" t="s">
        <v>31</v>
      </c>
      <c r="I893" s="2">
        <v>2</v>
      </c>
      <c r="J893" s="3">
        <v>131041</v>
      </c>
      <c r="K893" s="3">
        <v>262082</v>
      </c>
      <c r="L893" s="3">
        <v>160664</v>
      </c>
      <c r="M893" s="3">
        <v>101418</v>
      </c>
      <c r="N893" s="4">
        <v>7</v>
      </c>
    </row>
    <row r="894" spans="1:14" x14ac:dyDescent="0.25">
      <c r="A894" s="2">
        <v>4</v>
      </c>
      <c r="B894" s="1" t="s">
        <v>61</v>
      </c>
      <c r="C894" s="1" t="s">
        <v>62</v>
      </c>
      <c r="D894" s="1" t="s">
        <v>63</v>
      </c>
      <c r="E894" s="11" t="s">
        <v>49</v>
      </c>
      <c r="F894" s="12">
        <v>45901</v>
      </c>
      <c r="G894" s="1" t="s">
        <v>32</v>
      </c>
      <c r="H894" s="1" t="s">
        <v>33</v>
      </c>
      <c r="I894" s="2">
        <v>15</v>
      </c>
      <c r="J894" s="3">
        <v>19238</v>
      </c>
      <c r="K894" s="3">
        <v>288570</v>
      </c>
      <c r="L894" s="3">
        <v>135545</v>
      </c>
      <c r="M894" s="3">
        <v>153025</v>
      </c>
      <c r="N894" s="4">
        <v>6</v>
      </c>
    </row>
    <row r="895" spans="1:14" x14ac:dyDescent="0.25">
      <c r="A895" s="2">
        <v>4</v>
      </c>
      <c r="B895" s="1" t="s">
        <v>61</v>
      </c>
      <c r="C895" s="1" t="s">
        <v>62</v>
      </c>
      <c r="D895" s="1" t="s">
        <v>63</v>
      </c>
      <c r="E895" s="11" t="s">
        <v>49</v>
      </c>
      <c r="F895" s="12">
        <v>45901</v>
      </c>
      <c r="G895" s="1" t="s">
        <v>32</v>
      </c>
      <c r="H895" s="1" t="s">
        <v>34</v>
      </c>
      <c r="I895" s="2">
        <v>3</v>
      </c>
      <c r="J895" s="3">
        <v>7951</v>
      </c>
      <c r="K895" s="3">
        <v>23853</v>
      </c>
      <c r="L895" s="3">
        <v>11634</v>
      </c>
      <c r="M895" s="3">
        <v>12219</v>
      </c>
      <c r="N895" s="4">
        <v>7</v>
      </c>
    </row>
    <row r="896" spans="1:14" x14ac:dyDescent="0.25">
      <c r="A896" s="2">
        <v>4</v>
      </c>
      <c r="B896" s="1" t="s">
        <v>61</v>
      </c>
      <c r="C896" s="1" t="s">
        <v>62</v>
      </c>
      <c r="D896" s="1" t="s">
        <v>63</v>
      </c>
      <c r="E896" s="11" t="s">
        <v>49</v>
      </c>
      <c r="F896" s="12">
        <v>45901</v>
      </c>
      <c r="G896" s="1" t="s">
        <v>32</v>
      </c>
      <c r="H896" s="1" t="s">
        <v>35</v>
      </c>
      <c r="I896" s="2">
        <v>7</v>
      </c>
      <c r="J896" s="3">
        <v>6588</v>
      </c>
      <c r="K896" s="3">
        <v>46116</v>
      </c>
      <c r="L896" s="3">
        <v>30098</v>
      </c>
      <c r="M896" s="3">
        <v>16018</v>
      </c>
      <c r="N896" s="4">
        <v>0</v>
      </c>
    </row>
    <row r="897" spans="1:14" x14ac:dyDescent="0.25">
      <c r="A897" s="2">
        <v>4</v>
      </c>
      <c r="B897" s="1" t="s">
        <v>61</v>
      </c>
      <c r="C897" s="1" t="s">
        <v>62</v>
      </c>
      <c r="D897" s="1" t="s">
        <v>63</v>
      </c>
      <c r="E897" s="11" t="s">
        <v>49</v>
      </c>
      <c r="F897" s="12">
        <v>45901</v>
      </c>
      <c r="G897" s="1" t="s">
        <v>32</v>
      </c>
      <c r="H897" s="1" t="s">
        <v>36</v>
      </c>
      <c r="I897" s="2">
        <v>9</v>
      </c>
      <c r="J897" s="3">
        <v>10789</v>
      </c>
      <c r="K897" s="3">
        <v>97101</v>
      </c>
      <c r="L897" s="3">
        <v>67358</v>
      </c>
      <c r="M897" s="3">
        <v>29743</v>
      </c>
      <c r="N897" s="4">
        <v>4</v>
      </c>
    </row>
    <row r="898" spans="1:14" x14ac:dyDescent="0.25">
      <c r="A898" s="2">
        <v>4</v>
      </c>
      <c r="B898" s="1" t="s">
        <v>61</v>
      </c>
      <c r="C898" s="1" t="s">
        <v>62</v>
      </c>
      <c r="D898" s="1" t="s">
        <v>63</v>
      </c>
      <c r="E898" s="11" t="s">
        <v>49</v>
      </c>
      <c r="F898" s="12">
        <v>45901</v>
      </c>
      <c r="G898" s="1" t="s">
        <v>37</v>
      </c>
      <c r="H898" s="1" t="s">
        <v>38</v>
      </c>
      <c r="I898" s="2">
        <v>19</v>
      </c>
      <c r="J898" s="3">
        <v>131668</v>
      </c>
      <c r="K898" s="3">
        <v>2501692</v>
      </c>
      <c r="L898" s="3">
        <v>1312979</v>
      </c>
      <c r="M898" s="3">
        <v>1188713</v>
      </c>
      <c r="N898" s="4">
        <v>8</v>
      </c>
    </row>
    <row r="899" spans="1:14" x14ac:dyDescent="0.25">
      <c r="A899" s="2">
        <v>4</v>
      </c>
      <c r="B899" s="1" t="s">
        <v>61</v>
      </c>
      <c r="C899" s="1" t="s">
        <v>62</v>
      </c>
      <c r="D899" s="1" t="s">
        <v>63</v>
      </c>
      <c r="E899" s="11" t="s">
        <v>49</v>
      </c>
      <c r="F899" s="12">
        <v>45901</v>
      </c>
      <c r="G899" s="1" t="s">
        <v>37</v>
      </c>
      <c r="H899" s="1" t="s">
        <v>39</v>
      </c>
      <c r="I899" s="2">
        <v>17</v>
      </c>
      <c r="J899" s="3">
        <v>36566</v>
      </c>
      <c r="K899" s="3">
        <v>621622</v>
      </c>
      <c r="L899" s="3">
        <v>342467</v>
      </c>
      <c r="M899" s="3">
        <v>279155</v>
      </c>
      <c r="N899" s="4">
        <v>13</v>
      </c>
    </row>
    <row r="900" spans="1:14" x14ac:dyDescent="0.25">
      <c r="A900" s="2">
        <v>4</v>
      </c>
      <c r="B900" s="1" t="s">
        <v>61</v>
      </c>
      <c r="C900" s="1" t="s">
        <v>62</v>
      </c>
      <c r="D900" s="1" t="s">
        <v>64</v>
      </c>
      <c r="E900" s="11" t="s">
        <v>49</v>
      </c>
      <c r="F900" s="12">
        <v>45901</v>
      </c>
      <c r="G900" s="1" t="s">
        <v>37</v>
      </c>
      <c r="H900" s="1" t="s">
        <v>40</v>
      </c>
      <c r="I900" s="2">
        <v>10</v>
      </c>
      <c r="J900" s="3">
        <v>100905</v>
      </c>
      <c r="K900" s="3">
        <v>1009050</v>
      </c>
      <c r="L900" s="3">
        <v>652279</v>
      </c>
      <c r="M900" s="3">
        <v>356771</v>
      </c>
      <c r="N900" s="4">
        <v>5</v>
      </c>
    </row>
    <row r="901" spans="1:14" x14ac:dyDescent="0.25">
      <c r="A901" s="2">
        <v>4</v>
      </c>
      <c r="B901" s="1" t="s">
        <v>61</v>
      </c>
      <c r="C901" s="1" t="s">
        <v>62</v>
      </c>
      <c r="D901" s="1" t="s">
        <v>64</v>
      </c>
      <c r="E901" s="11" t="s">
        <v>49</v>
      </c>
      <c r="F901" s="12">
        <v>45901</v>
      </c>
      <c r="G901" s="1" t="s">
        <v>37</v>
      </c>
      <c r="H901" s="1" t="s">
        <v>41</v>
      </c>
      <c r="I901" s="2">
        <v>18</v>
      </c>
      <c r="J901" s="3">
        <v>100909</v>
      </c>
      <c r="K901" s="3">
        <v>1816362</v>
      </c>
      <c r="L901" s="3">
        <v>978931</v>
      </c>
      <c r="M901" s="3">
        <v>837431</v>
      </c>
      <c r="N901" s="4">
        <v>13</v>
      </c>
    </row>
    <row r="902" spans="1:14" x14ac:dyDescent="0.25">
      <c r="A902" s="2">
        <v>4</v>
      </c>
      <c r="B902" s="1" t="s">
        <v>61</v>
      </c>
      <c r="C902" s="1" t="s">
        <v>62</v>
      </c>
      <c r="D902" s="1" t="s">
        <v>63</v>
      </c>
      <c r="E902" s="11" t="s">
        <v>50</v>
      </c>
      <c r="F902" s="12">
        <v>45931</v>
      </c>
      <c r="G902" s="1" t="s">
        <v>16</v>
      </c>
      <c r="H902" s="1" t="s">
        <v>17</v>
      </c>
      <c r="I902" s="2">
        <v>15</v>
      </c>
      <c r="J902" s="3">
        <v>66101</v>
      </c>
      <c r="K902" s="3">
        <v>991515</v>
      </c>
      <c r="L902" s="3">
        <v>564158</v>
      </c>
      <c r="M902" s="3">
        <v>427357</v>
      </c>
      <c r="N902" s="4">
        <v>3</v>
      </c>
    </row>
    <row r="903" spans="1:14" x14ac:dyDescent="0.25">
      <c r="A903" s="2">
        <v>4</v>
      </c>
      <c r="B903" s="1" t="s">
        <v>61</v>
      </c>
      <c r="C903" s="1" t="s">
        <v>62</v>
      </c>
      <c r="D903" s="1" t="s">
        <v>64</v>
      </c>
      <c r="E903" s="11" t="s">
        <v>50</v>
      </c>
      <c r="F903" s="12">
        <v>45931</v>
      </c>
      <c r="G903" s="1" t="s">
        <v>16</v>
      </c>
      <c r="H903" s="1" t="s">
        <v>19</v>
      </c>
      <c r="I903" s="2">
        <v>13</v>
      </c>
      <c r="J903" s="3">
        <v>76378</v>
      </c>
      <c r="K903" s="3">
        <v>992914</v>
      </c>
      <c r="L903" s="3">
        <v>628121</v>
      </c>
      <c r="M903" s="3">
        <v>364793</v>
      </c>
      <c r="N903" s="4">
        <v>1</v>
      </c>
    </row>
    <row r="904" spans="1:14" x14ac:dyDescent="0.25">
      <c r="A904" s="2">
        <v>4</v>
      </c>
      <c r="B904" s="1" t="s">
        <v>61</v>
      </c>
      <c r="C904" s="1" t="s">
        <v>62</v>
      </c>
      <c r="D904" s="1" t="s">
        <v>63</v>
      </c>
      <c r="E904" s="11" t="s">
        <v>50</v>
      </c>
      <c r="F904" s="12">
        <v>45931</v>
      </c>
      <c r="G904" s="1" t="s">
        <v>16</v>
      </c>
      <c r="H904" s="1" t="s">
        <v>20</v>
      </c>
      <c r="I904" s="2">
        <v>12</v>
      </c>
      <c r="J904" s="3">
        <v>113814</v>
      </c>
      <c r="K904" s="3">
        <v>1365768</v>
      </c>
      <c r="L904" s="3">
        <v>611300</v>
      </c>
      <c r="M904" s="3">
        <v>754468</v>
      </c>
      <c r="N904" s="4">
        <v>1</v>
      </c>
    </row>
    <row r="905" spans="1:14" x14ac:dyDescent="0.25">
      <c r="A905" s="2">
        <v>4</v>
      </c>
      <c r="B905" s="1" t="s">
        <v>61</v>
      </c>
      <c r="C905" s="1" t="s">
        <v>62</v>
      </c>
      <c r="D905" s="1" t="s">
        <v>63</v>
      </c>
      <c r="E905" s="11" t="s">
        <v>50</v>
      </c>
      <c r="F905" s="12">
        <v>45931</v>
      </c>
      <c r="G905" s="1" t="s">
        <v>16</v>
      </c>
      <c r="H905" s="1" t="s">
        <v>21</v>
      </c>
      <c r="I905" s="2">
        <v>18</v>
      </c>
      <c r="J905" s="3">
        <v>93463</v>
      </c>
      <c r="K905" s="3">
        <v>1682334</v>
      </c>
      <c r="L905" s="3">
        <v>990671</v>
      </c>
      <c r="M905" s="3">
        <v>691663</v>
      </c>
      <c r="N905" s="4">
        <v>10</v>
      </c>
    </row>
    <row r="906" spans="1:14" x14ac:dyDescent="0.25">
      <c r="A906" s="2">
        <v>4</v>
      </c>
      <c r="B906" s="1" t="s">
        <v>61</v>
      </c>
      <c r="C906" s="1" t="s">
        <v>62</v>
      </c>
      <c r="D906" s="1" t="s">
        <v>63</v>
      </c>
      <c r="E906" s="11" t="s">
        <v>50</v>
      </c>
      <c r="F906" s="12">
        <v>45931</v>
      </c>
      <c r="G906" s="1" t="s">
        <v>22</v>
      </c>
      <c r="H906" s="1" t="s">
        <v>23</v>
      </c>
      <c r="I906" s="2">
        <v>9</v>
      </c>
      <c r="J906" s="3">
        <v>99563</v>
      </c>
      <c r="K906" s="3">
        <v>896067</v>
      </c>
      <c r="L906" s="3">
        <v>466612</v>
      </c>
      <c r="M906" s="3">
        <v>429455</v>
      </c>
      <c r="N906" s="4">
        <v>8</v>
      </c>
    </row>
    <row r="907" spans="1:14" x14ac:dyDescent="0.25">
      <c r="A907" s="2">
        <v>4</v>
      </c>
      <c r="B907" s="1" t="s">
        <v>61</v>
      </c>
      <c r="C907" s="1" t="s">
        <v>62</v>
      </c>
      <c r="D907" s="1" t="s">
        <v>64</v>
      </c>
      <c r="E907" s="11" t="s">
        <v>50</v>
      </c>
      <c r="F907" s="12">
        <v>45931</v>
      </c>
      <c r="G907" s="1" t="s">
        <v>22</v>
      </c>
      <c r="H907" s="1" t="s">
        <v>24</v>
      </c>
      <c r="I907" s="2">
        <v>17</v>
      </c>
      <c r="J907" s="3">
        <v>109081</v>
      </c>
      <c r="K907" s="3">
        <v>1854377</v>
      </c>
      <c r="L907" s="3">
        <v>1177353</v>
      </c>
      <c r="M907" s="3">
        <v>677024</v>
      </c>
      <c r="N907" s="4">
        <v>1</v>
      </c>
    </row>
    <row r="908" spans="1:14" x14ac:dyDescent="0.25">
      <c r="A908" s="2">
        <v>4</v>
      </c>
      <c r="B908" s="1" t="s">
        <v>61</v>
      </c>
      <c r="C908" s="1" t="s">
        <v>62</v>
      </c>
      <c r="D908" s="1" t="s">
        <v>63</v>
      </c>
      <c r="E908" s="11" t="s">
        <v>50</v>
      </c>
      <c r="F908" s="12">
        <v>45931</v>
      </c>
      <c r="G908" s="1" t="s">
        <v>22</v>
      </c>
      <c r="H908" s="1" t="s">
        <v>25</v>
      </c>
      <c r="I908" s="2">
        <v>6</v>
      </c>
      <c r="J908" s="3">
        <v>42736</v>
      </c>
      <c r="K908" s="3">
        <v>256416</v>
      </c>
      <c r="L908" s="3">
        <v>107388</v>
      </c>
      <c r="M908" s="3">
        <v>149028</v>
      </c>
      <c r="N908" s="4">
        <v>1</v>
      </c>
    </row>
    <row r="909" spans="1:14" x14ac:dyDescent="0.25">
      <c r="A909" s="2">
        <v>4</v>
      </c>
      <c r="B909" s="1" t="s">
        <v>61</v>
      </c>
      <c r="C909" s="1" t="s">
        <v>62</v>
      </c>
      <c r="D909" s="1" t="s">
        <v>63</v>
      </c>
      <c r="E909" s="11" t="s">
        <v>50</v>
      </c>
      <c r="F909" s="12">
        <v>45931</v>
      </c>
      <c r="G909" s="1" t="s">
        <v>22</v>
      </c>
      <c r="H909" s="1" t="s">
        <v>26</v>
      </c>
      <c r="I909" s="2">
        <v>8</v>
      </c>
      <c r="J909" s="3">
        <v>42440</v>
      </c>
      <c r="K909" s="3">
        <v>339520</v>
      </c>
      <c r="L909" s="3">
        <v>170476</v>
      </c>
      <c r="M909" s="3">
        <v>169044</v>
      </c>
      <c r="N909" s="4">
        <v>11</v>
      </c>
    </row>
    <row r="910" spans="1:14" x14ac:dyDescent="0.25">
      <c r="A910" s="2">
        <v>4</v>
      </c>
      <c r="B910" s="1" t="s">
        <v>61</v>
      </c>
      <c r="C910" s="1" t="s">
        <v>62</v>
      </c>
      <c r="D910" s="1" t="s">
        <v>63</v>
      </c>
      <c r="E910" s="11" t="s">
        <v>50</v>
      </c>
      <c r="F910" s="12">
        <v>45931</v>
      </c>
      <c r="G910" s="1" t="s">
        <v>27</v>
      </c>
      <c r="H910" s="1" t="s">
        <v>28</v>
      </c>
      <c r="I910" s="2">
        <v>11</v>
      </c>
      <c r="J910" s="3">
        <v>123032</v>
      </c>
      <c r="K910" s="3">
        <v>1353352</v>
      </c>
      <c r="L910" s="3">
        <v>687597</v>
      </c>
      <c r="M910" s="3">
        <v>665755</v>
      </c>
      <c r="N910" s="4">
        <v>2</v>
      </c>
    </row>
    <row r="911" spans="1:14" x14ac:dyDescent="0.25">
      <c r="A911" s="2">
        <v>4</v>
      </c>
      <c r="B911" s="1" t="s">
        <v>61</v>
      </c>
      <c r="C911" s="1" t="s">
        <v>62</v>
      </c>
      <c r="D911" s="1" t="s">
        <v>63</v>
      </c>
      <c r="E911" s="11" t="s">
        <v>50</v>
      </c>
      <c r="F911" s="12">
        <v>45931</v>
      </c>
      <c r="G911" s="1" t="s">
        <v>27</v>
      </c>
      <c r="H911" s="1" t="s">
        <v>29</v>
      </c>
      <c r="I911" s="2">
        <v>9</v>
      </c>
      <c r="J911" s="3">
        <v>148922</v>
      </c>
      <c r="K911" s="3">
        <v>1340298</v>
      </c>
      <c r="L911" s="3">
        <v>884548</v>
      </c>
      <c r="M911" s="3">
        <v>455750</v>
      </c>
      <c r="N911" s="4">
        <v>3</v>
      </c>
    </row>
    <row r="912" spans="1:14" x14ac:dyDescent="0.25">
      <c r="A912" s="2">
        <v>4</v>
      </c>
      <c r="B912" s="1" t="s">
        <v>61</v>
      </c>
      <c r="C912" s="1" t="s">
        <v>62</v>
      </c>
      <c r="D912" s="1" t="s">
        <v>64</v>
      </c>
      <c r="E912" s="11" t="s">
        <v>50</v>
      </c>
      <c r="F912" s="12">
        <v>45931</v>
      </c>
      <c r="G912" s="1" t="s">
        <v>27</v>
      </c>
      <c r="H912" s="1" t="s">
        <v>30</v>
      </c>
      <c r="I912" s="2">
        <v>4</v>
      </c>
      <c r="J912" s="3">
        <v>36209</v>
      </c>
      <c r="K912" s="3">
        <v>144836</v>
      </c>
      <c r="L912" s="3">
        <v>96686</v>
      </c>
      <c r="M912" s="3">
        <v>48150</v>
      </c>
      <c r="N912" s="4">
        <v>12</v>
      </c>
    </row>
    <row r="913" spans="1:14" x14ac:dyDescent="0.25">
      <c r="A913" s="2">
        <v>4</v>
      </c>
      <c r="B913" s="1" t="s">
        <v>61</v>
      </c>
      <c r="C913" s="1" t="s">
        <v>62</v>
      </c>
      <c r="D913" s="1" t="s">
        <v>63</v>
      </c>
      <c r="E913" s="11" t="s">
        <v>50</v>
      </c>
      <c r="F913" s="12">
        <v>45931</v>
      </c>
      <c r="G913" s="1" t="s">
        <v>27</v>
      </c>
      <c r="H913" s="1" t="s">
        <v>31</v>
      </c>
      <c r="I913" s="2">
        <v>19</v>
      </c>
      <c r="J913" s="3">
        <v>22224</v>
      </c>
      <c r="K913" s="3">
        <v>422256</v>
      </c>
      <c r="L913" s="3">
        <v>216699</v>
      </c>
      <c r="M913" s="3">
        <v>205557</v>
      </c>
      <c r="N913" s="4">
        <v>7</v>
      </c>
    </row>
    <row r="914" spans="1:14" x14ac:dyDescent="0.25">
      <c r="A914" s="2">
        <v>4</v>
      </c>
      <c r="B914" s="1" t="s">
        <v>61</v>
      </c>
      <c r="C914" s="1" t="s">
        <v>62</v>
      </c>
      <c r="D914" s="1" t="s">
        <v>63</v>
      </c>
      <c r="E914" s="11" t="s">
        <v>50</v>
      </c>
      <c r="F914" s="12">
        <v>45931</v>
      </c>
      <c r="G914" s="1" t="s">
        <v>32</v>
      </c>
      <c r="H914" s="1" t="s">
        <v>33</v>
      </c>
      <c r="I914" s="2">
        <v>12</v>
      </c>
      <c r="J914" s="3">
        <v>16684</v>
      </c>
      <c r="K914" s="3">
        <v>200208</v>
      </c>
      <c r="L914" s="3">
        <v>87051</v>
      </c>
      <c r="M914" s="3">
        <v>113157</v>
      </c>
      <c r="N914" s="4">
        <v>6</v>
      </c>
    </row>
    <row r="915" spans="1:14" x14ac:dyDescent="0.25">
      <c r="A915" s="2">
        <v>4</v>
      </c>
      <c r="B915" s="1" t="s">
        <v>61</v>
      </c>
      <c r="C915" s="1" t="s">
        <v>62</v>
      </c>
      <c r="D915" s="1" t="s">
        <v>63</v>
      </c>
      <c r="E915" s="11" t="s">
        <v>50</v>
      </c>
      <c r="F915" s="12">
        <v>45931</v>
      </c>
      <c r="G915" s="1" t="s">
        <v>32</v>
      </c>
      <c r="H915" s="1" t="s">
        <v>34</v>
      </c>
      <c r="I915" s="2">
        <v>1</v>
      </c>
      <c r="J915" s="3">
        <v>17091</v>
      </c>
      <c r="K915" s="3">
        <v>17091</v>
      </c>
      <c r="L915" s="3">
        <v>10080</v>
      </c>
      <c r="M915" s="3">
        <v>7011</v>
      </c>
      <c r="N915" s="4">
        <v>7</v>
      </c>
    </row>
    <row r="916" spans="1:14" x14ac:dyDescent="0.25">
      <c r="A916" s="2">
        <v>4</v>
      </c>
      <c r="B916" s="1" t="s">
        <v>61</v>
      </c>
      <c r="C916" s="1" t="s">
        <v>62</v>
      </c>
      <c r="D916" s="1" t="s">
        <v>63</v>
      </c>
      <c r="E916" s="11" t="s">
        <v>50</v>
      </c>
      <c r="F916" s="12">
        <v>45931</v>
      </c>
      <c r="G916" s="1" t="s">
        <v>32</v>
      </c>
      <c r="H916" s="1" t="s">
        <v>35</v>
      </c>
      <c r="I916" s="2">
        <v>10</v>
      </c>
      <c r="J916" s="3">
        <v>11318</v>
      </c>
      <c r="K916" s="3">
        <v>113180</v>
      </c>
      <c r="L916" s="3">
        <v>50940</v>
      </c>
      <c r="M916" s="3">
        <v>62240</v>
      </c>
      <c r="N916" s="4">
        <v>4</v>
      </c>
    </row>
    <row r="917" spans="1:14" x14ac:dyDescent="0.25">
      <c r="A917" s="2">
        <v>4</v>
      </c>
      <c r="B917" s="1" t="s">
        <v>61</v>
      </c>
      <c r="C917" s="1" t="s">
        <v>62</v>
      </c>
      <c r="D917" s="1" t="s">
        <v>64</v>
      </c>
      <c r="E917" s="11" t="s">
        <v>50</v>
      </c>
      <c r="F917" s="12">
        <v>45931</v>
      </c>
      <c r="G917" s="1" t="s">
        <v>32</v>
      </c>
      <c r="H917" s="1" t="s">
        <v>36</v>
      </c>
      <c r="I917" s="2">
        <v>11</v>
      </c>
      <c r="J917" s="3">
        <v>18412</v>
      </c>
      <c r="K917" s="3">
        <v>202532</v>
      </c>
      <c r="L917" s="3">
        <v>139709</v>
      </c>
      <c r="M917" s="3">
        <v>62823</v>
      </c>
      <c r="N917" s="4">
        <v>11</v>
      </c>
    </row>
    <row r="918" spans="1:14" x14ac:dyDescent="0.25">
      <c r="A918" s="2">
        <v>4</v>
      </c>
      <c r="B918" s="1" t="s">
        <v>61</v>
      </c>
      <c r="C918" s="1" t="s">
        <v>62</v>
      </c>
      <c r="D918" s="1" t="s">
        <v>63</v>
      </c>
      <c r="E918" s="11" t="s">
        <v>50</v>
      </c>
      <c r="F918" s="12">
        <v>45931</v>
      </c>
      <c r="G918" s="1" t="s">
        <v>37</v>
      </c>
      <c r="H918" s="1" t="s">
        <v>38</v>
      </c>
      <c r="I918" s="2">
        <v>11</v>
      </c>
      <c r="J918" s="3">
        <v>140592</v>
      </c>
      <c r="K918" s="3">
        <v>1546512</v>
      </c>
      <c r="L918" s="3">
        <v>932287</v>
      </c>
      <c r="M918" s="3">
        <v>614225</v>
      </c>
      <c r="N918" s="4">
        <v>8</v>
      </c>
    </row>
    <row r="919" spans="1:14" x14ac:dyDescent="0.25">
      <c r="A919" s="2">
        <v>4</v>
      </c>
      <c r="B919" s="1" t="s">
        <v>61</v>
      </c>
      <c r="C919" s="1" t="s">
        <v>62</v>
      </c>
      <c r="D919" s="1" t="s">
        <v>64</v>
      </c>
      <c r="E919" s="11" t="s">
        <v>50</v>
      </c>
      <c r="F919" s="12">
        <v>45931</v>
      </c>
      <c r="G919" s="1" t="s">
        <v>37</v>
      </c>
      <c r="H919" s="1" t="s">
        <v>39</v>
      </c>
      <c r="I919" s="2">
        <v>9</v>
      </c>
      <c r="J919" s="3">
        <v>98356</v>
      </c>
      <c r="K919" s="3">
        <v>885204</v>
      </c>
      <c r="L919" s="3">
        <v>480331</v>
      </c>
      <c r="M919" s="3">
        <v>404873</v>
      </c>
      <c r="N919" s="4">
        <v>2</v>
      </c>
    </row>
    <row r="920" spans="1:14" x14ac:dyDescent="0.25">
      <c r="A920" s="2">
        <v>4</v>
      </c>
      <c r="B920" s="1" t="s">
        <v>61</v>
      </c>
      <c r="C920" s="1" t="s">
        <v>62</v>
      </c>
      <c r="D920" s="1" t="s">
        <v>63</v>
      </c>
      <c r="E920" s="11" t="s">
        <v>50</v>
      </c>
      <c r="F920" s="12">
        <v>45931</v>
      </c>
      <c r="G920" s="1" t="s">
        <v>37</v>
      </c>
      <c r="H920" s="1" t="s">
        <v>40</v>
      </c>
      <c r="I920" s="2">
        <v>12</v>
      </c>
      <c r="J920" s="3">
        <v>86852</v>
      </c>
      <c r="K920" s="3">
        <v>1042224</v>
      </c>
      <c r="L920" s="3">
        <v>431955</v>
      </c>
      <c r="M920" s="3">
        <v>610269</v>
      </c>
      <c r="N920" s="4">
        <v>4</v>
      </c>
    </row>
    <row r="921" spans="1:14" x14ac:dyDescent="0.25">
      <c r="A921" s="2">
        <v>4</v>
      </c>
      <c r="B921" s="1" t="s">
        <v>61</v>
      </c>
      <c r="C921" s="1" t="s">
        <v>62</v>
      </c>
      <c r="D921" s="1" t="s">
        <v>63</v>
      </c>
      <c r="E921" s="11" t="s">
        <v>50</v>
      </c>
      <c r="F921" s="12">
        <v>45931</v>
      </c>
      <c r="G921" s="1" t="s">
        <v>37</v>
      </c>
      <c r="H921" s="1" t="s">
        <v>41</v>
      </c>
      <c r="I921" s="2">
        <v>16</v>
      </c>
      <c r="J921" s="3">
        <v>100742</v>
      </c>
      <c r="K921" s="3">
        <v>1611872</v>
      </c>
      <c r="L921" s="3">
        <v>886723</v>
      </c>
      <c r="M921" s="3">
        <v>725149</v>
      </c>
      <c r="N921" s="4">
        <v>8</v>
      </c>
    </row>
    <row r="922" spans="1:14" x14ac:dyDescent="0.25">
      <c r="A922" s="2">
        <v>4</v>
      </c>
      <c r="B922" s="1" t="s">
        <v>61</v>
      </c>
      <c r="C922" s="1" t="s">
        <v>62</v>
      </c>
      <c r="D922" s="1" t="s">
        <v>63</v>
      </c>
      <c r="E922" s="11" t="s">
        <v>51</v>
      </c>
      <c r="F922" s="12">
        <v>45962</v>
      </c>
      <c r="G922" s="1" t="s">
        <v>16</v>
      </c>
      <c r="H922" s="1" t="s">
        <v>17</v>
      </c>
      <c r="I922" s="2">
        <v>3</v>
      </c>
      <c r="J922" s="3">
        <v>138062</v>
      </c>
      <c r="K922" s="3">
        <v>414186</v>
      </c>
      <c r="L922" s="3">
        <v>179464</v>
      </c>
      <c r="M922" s="3">
        <v>234722</v>
      </c>
      <c r="N922" s="4">
        <v>13</v>
      </c>
    </row>
    <row r="923" spans="1:14" x14ac:dyDescent="0.25">
      <c r="A923" s="2">
        <v>4</v>
      </c>
      <c r="B923" s="1" t="s">
        <v>61</v>
      </c>
      <c r="C923" s="1" t="s">
        <v>62</v>
      </c>
      <c r="D923" s="1" t="s">
        <v>63</v>
      </c>
      <c r="E923" s="11" t="s">
        <v>51</v>
      </c>
      <c r="F923" s="12">
        <v>45962</v>
      </c>
      <c r="G923" s="1" t="s">
        <v>16</v>
      </c>
      <c r="H923" s="1" t="s">
        <v>19</v>
      </c>
      <c r="I923" s="2">
        <v>3</v>
      </c>
      <c r="J923" s="3">
        <v>25355</v>
      </c>
      <c r="K923" s="3">
        <v>76065</v>
      </c>
      <c r="L923" s="3">
        <v>30491</v>
      </c>
      <c r="M923" s="3">
        <v>45574</v>
      </c>
      <c r="N923" s="4">
        <v>6</v>
      </c>
    </row>
    <row r="924" spans="1:14" x14ac:dyDescent="0.25">
      <c r="A924" s="2">
        <v>4</v>
      </c>
      <c r="B924" s="1" t="s">
        <v>61</v>
      </c>
      <c r="C924" s="1" t="s">
        <v>62</v>
      </c>
      <c r="D924" s="1" t="s">
        <v>63</v>
      </c>
      <c r="E924" s="11" t="s">
        <v>51</v>
      </c>
      <c r="F924" s="12">
        <v>45962</v>
      </c>
      <c r="G924" s="1" t="s">
        <v>16</v>
      </c>
      <c r="H924" s="1" t="s">
        <v>20</v>
      </c>
      <c r="I924" s="2">
        <v>9</v>
      </c>
      <c r="J924" s="3">
        <v>98860</v>
      </c>
      <c r="K924" s="3">
        <v>889740</v>
      </c>
      <c r="L924" s="3">
        <v>467070</v>
      </c>
      <c r="M924" s="3">
        <v>422670</v>
      </c>
      <c r="N924" s="4">
        <v>12</v>
      </c>
    </row>
    <row r="925" spans="1:14" x14ac:dyDescent="0.25">
      <c r="A925" s="2">
        <v>4</v>
      </c>
      <c r="B925" s="1" t="s">
        <v>61</v>
      </c>
      <c r="C925" s="1" t="s">
        <v>62</v>
      </c>
      <c r="D925" s="1" t="s">
        <v>64</v>
      </c>
      <c r="E925" s="11" t="s">
        <v>51</v>
      </c>
      <c r="F925" s="12">
        <v>45962</v>
      </c>
      <c r="G925" s="1" t="s">
        <v>16</v>
      </c>
      <c r="H925" s="1" t="s">
        <v>21</v>
      </c>
      <c r="I925" s="2">
        <v>4</v>
      </c>
      <c r="J925" s="3">
        <v>46654</v>
      </c>
      <c r="K925" s="3">
        <v>186616</v>
      </c>
      <c r="L925" s="3">
        <v>114936</v>
      </c>
      <c r="M925" s="3">
        <v>71680</v>
      </c>
      <c r="N925" s="4">
        <v>8</v>
      </c>
    </row>
    <row r="926" spans="1:14" x14ac:dyDescent="0.25">
      <c r="A926" s="2">
        <v>4</v>
      </c>
      <c r="B926" s="1" t="s">
        <v>61</v>
      </c>
      <c r="C926" s="1" t="s">
        <v>62</v>
      </c>
      <c r="D926" s="1" t="s">
        <v>64</v>
      </c>
      <c r="E926" s="11" t="s">
        <v>51</v>
      </c>
      <c r="F926" s="12">
        <v>45962</v>
      </c>
      <c r="G926" s="1" t="s">
        <v>22</v>
      </c>
      <c r="H926" s="1" t="s">
        <v>23</v>
      </c>
      <c r="I926" s="2">
        <v>9</v>
      </c>
      <c r="J926" s="3">
        <v>72389</v>
      </c>
      <c r="K926" s="3">
        <v>651501</v>
      </c>
      <c r="L926" s="3">
        <v>352908</v>
      </c>
      <c r="M926" s="3">
        <v>298593</v>
      </c>
      <c r="N926" s="4">
        <v>7</v>
      </c>
    </row>
    <row r="927" spans="1:14" x14ac:dyDescent="0.25">
      <c r="A927" s="2">
        <v>4</v>
      </c>
      <c r="B927" s="1" t="s">
        <v>61</v>
      </c>
      <c r="C927" s="1" t="s">
        <v>62</v>
      </c>
      <c r="D927" s="1" t="s">
        <v>64</v>
      </c>
      <c r="E927" s="11" t="s">
        <v>51</v>
      </c>
      <c r="F927" s="12">
        <v>45962</v>
      </c>
      <c r="G927" s="1" t="s">
        <v>22</v>
      </c>
      <c r="H927" s="1" t="s">
        <v>24</v>
      </c>
      <c r="I927" s="2">
        <v>1</v>
      </c>
      <c r="J927" s="3">
        <v>47747</v>
      </c>
      <c r="K927" s="3">
        <v>47747</v>
      </c>
      <c r="L927" s="3">
        <v>28807</v>
      </c>
      <c r="M927" s="3">
        <v>18940</v>
      </c>
      <c r="N927" s="4">
        <v>12</v>
      </c>
    </row>
    <row r="928" spans="1:14" x14ac:dyDescent="0.25">
      <c r="A928" s="2">
        <v>4</v>
      </c>
      <c r="B928" s="1" t="s">
        <v>61</v>
      </c>
      <c r="C928" s="1" t="s">
        <v>62</v>
      </c>
      <c r="D928" s="1" t="s">
        <v>63</v>
      </c>
      <c r="E928" s="11" t="s">
        <v>51</v>
      </c>
      <c r="F928" s="12">
        <v>45962</v>
      </c>
      <c r="G928" s="1" t="s">
        <v>22</v>
      </c>
      <c r="H928" s="1" t="s">
        <v>25</v>
      </c>
      <c r="I928" s="2">
        <v>13</v>
      </c>
      <c r="J928" s="3">
        <v>77505</v>
      </c>
      <c r="K928" s="3">
        <v>1007565</v>
      </c>
      <c r="L928" s="3">
        <v>522342</v>
      </c>
      <c r="M928" s="3">
        <v>485223</v>
      </c>
      <c r="N928" s="4">
        <v>7</v>
      </c>
    </row>
    <row r="929" spans="1:14" x14ac:dyDescent="0.25">
      <c r="A929" s="2">
        <v>4</v>
      </c>
      <c r="B929" s="1" t="s">
        <v>61</v>
      </c>
      <c r="C929" s="1" t="s">
        <v>62</v>
      </c>
      <c r="D929" s="1" t="s">
        <v>64</v>
      </c>
      <c r="E929" s="11" t="s">
        <v>51</v>
      </c>
      <c r="F929" s="12">
        <v>45962</v>
      </c>
      <c r="G929" s="1" t="s">
        <v>22</v>
      </c>
      <c r="H929" s="1" t="s">
        <v>26</v>
      </c>
      <c r="I929" s="2">
        <v>7</v>
      </c>
      <c r="J929" s="3">
        <v>116035</v>
      </c>
      <c r="K929" s="3">
        <v>812245</v>
      </c>
      <c r="L929" s="3">
        <v>504874</v>
      </c>
      <c r="M929" s="3">
        <v>307371</v>
      </c>
      <c r="N929" s="4">
        <v>11</v>
      </c>
    </row>
    <row r="930" spans="1:14" x14ac:dyDescent="0.25">
      <c r="A930" s="2">
        <v>4</v>
      </c>
      <c r="B930" s="1" t="s">
        <v>61</v>
      </c>
      <c r="C930" s="1" t="s">
        <v>62</v>
      </c>
      <c r="D930" s="1" t="s">
        <v>64</v>
      </c>
      <c r="E930" s="11" t="s">
        <v>51</v>
      </c>
      <c r="F930" s="12">
        <v>45962</v>
      </c>
      <c r="G930" s="1" t="s">
        <v>27</v>
      </c>
      <c r="H930" s="1" t="s">
        <v>28</v>
      </c>
      <c r="I930" s="2">
        <v>6</v>
      </c>
      <c r="J930" s="3">
        <v>134667</v>
      </c>
      <c r="K930" s="3">
        <v>808002</v>
      </c>
      <c r="L930" s="3">
        <v>335853</v>
      </c>
      <c r="M930" s="3">
        <v>472149</v>
      </c>
      <c r="N930" s="4">
        <v>11</v>
      </c>
    </row>
    <row r="931" spans="1:14" x14ac:dyDescent="0.25">
      <c r="A931" s="2">
        <v>4</v>
      </c>
      <c r="B931" s="1" t="s">
        <v>61</v>
      </c>
      <c r="C931" s="1" t="s">
        <v>62</v>
      </c>
      <c r="D931" s="1" t="s">
        <v>64</v>
      </c>
      <c r="E931" s="11" t="s">
        <v>51</v>
      </c>
      <c r="F931" s="12">
        <v>45962</v>
      </c>
      <c r="G931" s="1" t="s">
        <v>27</v>
      </c>
      <c r="H931" s="1" t="s">
        <v>29</v>
      </c>
      <c r="I931" s="2">
        <v>8</v>
      </c>
      <c r="J931" s="3">
        <v>82261</v>
      </c>
      <c r="K931" s="3">
        <v>658088</v>
      </c>
      <c r="L931" s="3">
        <v>302565</v>
      </c>
      <c r="M931" s="3">
        <v>355523</v>
      </c>
      <c r="N931" s="4">
        <v>3</v>
      </c>
    </row>
    <row r="932" spans="1:14" x14ac:dyDescent="0.25">
      <c r="A932" s="2">
        <v>4</v>
      </c>
      <c r="B932" s="1" t="s">
        <v>61</v>
      </c>
      <c r="C932" s="1" t="s">
        <v>62</v>
      </c>
      <c r="D932" s="1" t="s">
        <v>64</v>
      </c>
      <c r="E932" s="11" t="s">
        <v>51</v>
      </c>
      <c r="F932" s="12">
        <v>45962</v>
      </c>
      <c r="G932" s="1" t="s">
        <v>27</v>
      </c>
      <c r="H932" s="1" t="s">
        <v>30</v>
      </c>
      <c r="I932" s="2">
        <v>11</v>
      </c>
      <c r="J932" s="3">
        <v>100098</v>
      </c>
      <c r="K932" s="3">
        <v>1101078</v>
      </c>
      <c r="L932" s="3">
        <v>660712</v>
      </c>
      <c r="M932" s="3">
        <v>440366</v>
      </c>
      <c r="N932" s="4">
        <v>0</v>
      </c>
    </row>
    <row r="933" spans="1:14" x14ac:dyDescent="0.25">
      <c r="A933" s="2">
        <v>4</v>
      </c>
      <c r="B933" s="1" t="s">
        <v>61</v>
      </c>
      <c r="C933" s="1" t="s">
        <v>62</v>
      </c>
      <c r="D933" s="1" t="s">
        <v>63</v>
      </c>
      <c r="E933" s="11" t="s">
        <v>51</v>
      </c>
      <c r="F933" s="12">
        <v>45962</v>
      </c>
      <c r="G933" s="1" t="s">
        <v>27</v>
      </c>
      <c r="H933" s="1" t="s">
        <v>31</v>
      </c>
      <c r="I933" s="2">
        <v>10</v>
      </c>
      <c r="J933" s="3">
        <v>75860</v>
      </c>
      <c r="K933" s="3">
        <v>758600</v>
      </c>
      <c r="L933" s="3">
        <v>364338</v>
      </c>
      <c r="M933" s="3">
        <v>394262</v>
      </c>
      <c r="N933" s="4">
        <v>4</v>
      </c>
    </row>
    <row r="934" spans="1:14" x14ac:dyDescent="0.25">
      <c r="A934" s="2">
        <v>4</v>
      </c>
      <c r="B934" s="1" t="s">
        <v>61</v>
      </c>
      <c r="C934" s="1" t="s">
        <v>62</v>
      </c>
      <c r="D934" s="1" t="s">
        <v>63</v>
      </c>
      <c r="E934" s="11" t="s">
        <v>51</v>
      </c>
      <c r="F934" s="12">
        <v>45962</v>
      </c>
      <c r="G934" s="1" t="s">
        <v>32</v>
      </c>
      <c r="H934" s="1" t="s">
        <v>33</v>
      </c>
      <c r="I934" s="2">
        <v>10</v>
      </c>
      <c r="J934" s="3">
        <v>17845</v>
      </c>
      <c r="K934" s="3">
        <v>178450</v>
      </c>
      <c r="L934" s="3">
        <v>84329</v>
      </c>
      <c r="M934" s="3">
        <v>94121</v>
      </c>
      <c r="N934" s="4">
        <v>5</v>
      </c>
    </row>
    <row r="935" spans="1:14" x14ac:dyDescent="0.25">
      <c r="A935" s="2">
        <v>4</v>
      </c>
      <c r="B935" s="1" t="s">
        <v>61</v>
      </c>
      <c r="C935" s="1" t="s">
        <v>62</v>
      </c>
      <c r="D935" s="1" t="s">
        <v>63</v>
      </c>
      <c r="E935" s="11" t="s">
        <v>51</v>
      </c>
      <c r="F935" s="12">
        <v>45962</v>
      </c>
      <c r="G935" s="1" t="s">
        <v>32</v>
      </c>
      <c r="H935" s="1" t="s">
        <v>34</v>
      </c>
      <c r="I935" s="2">
        <v>2</v>
      </c>
      <c r="J935" s="3">
        <v>15197</v>
      </c>
      <c r="K935" s="3">
        <v>30394</v>
      </c>
      <c r="L935" s="3">
        <v>18625</v>
      </c>
      <c r="M935" s="3">
        <v>11769</v>
      </c>
      <c r="N935" s="4">
        <v>13</v>
      </c>
    </row>
    <row r="936" spans="1:14" x14ac:dyDescent="0.25">
      <c r="A936" s="2">
        <v>4</v>
      </c>
      <c r="B936" s="1" t="s">
        <v>61</v>
      </c>
      <c r="C936" s="1" t="s">
        <v>62</v>
      </c>
      <c r="D936" s="1" t="s">
        <v>63</v>
      </c>
      <c r="E936" s="11" t="s">
        <v>51</v>
      </c>
      <c r="F936" s="12">
        <v>45962</v>
      </c>
      <c r="G936" s="1" t="s">
        <v>32</v>
      </c>
      <c r="H936" s="1" t="s">
        <v>35</v>
      </c>
      <c r="I936" s="2">
        <v>10</v>
      </c>
      <c r="J936" s="3">
        <v>5674</v>
      </c>
      <c r="K936" s="3">
        <v>56740</v>
      </c>
      <c r="L936" s="3">
        <v>31085</v>
      </c>
      <c r="M936" s="3">
        <v>25655</v>
      </c>
      <c r="N936" s="4">
        <v>14</v>
      </c>
    </row>
    <row r="937" spans="1:14" x14ac:dyDescent="0.25">
      <c r="A937" s="2">
        <v>4</v>
      </c>
      <c r="B937" s="1" t="s">
        <v>61</v>
      </c>
      <c r="C937" s="1" t="s">
        <v>62</v>
      </c>
      <c r="D937" s="1" t="s">
        <v>64</v>
      </c>
      <c r="E937" s="11" t="s">
        <v>51</v>
      </c>
      <c r="F937" s="12">
        <v>45962</v>
      </c>
      <c r="G937" s="1" t="s">
        <v>32</v>
      </c>
      <c r="H937" s="1" t="s">
        <v>36</v>
      </c>
      <c r="I937" s="2">
        <v>6</v>
      </c>
      <c r="J937" s="3">
        <v>7064</v>
      </c>
      <c r="K937" s="3">
        <v>42384</v>
      </c>
      <c r="L937" s="3">
        <v>28474</v>
      </c>
      <c r="M937" s="3">
        <v>13910</v>
      </c>
      <c r="N937" s="4">
        <v>3</v>
      </c>
    </row>
    <row r="938" spans="1:14" x14ac:dyDescent="0.25">
      <c r="A938" s="2">
        <v>4</v>
      </c>
      <c r="B938" s="1" t="s">
        <v>61</v>
      </c>
      <c r="C938" s="1" t="s">
        <v>62</v>
      </c>
      <c r="D938" s="1" t="s">
        <v>64</v>
      </c>
      <c r="E938" s="11" t="s">
        <v>51</v>
      </c>
      <c r="F938" s="12">
        <v>45962</v>
      </c>
      <c r="G938" s="1" t="s">
        <v>37</v>
      </c>
      <c r="H938" s="1" t="s">
        <v>38</v>
      </c>
      <c r="I938" s="2">
        <v>11</v>
      </c>
      <c r="J938" s="3">
        <v>116664</v>
      </c>
      <c r="K938" s="3">
        <v>1283304</v>
      </c>
      <c r="L938" s="3">
        <v>884260</v>
      </c>
      <c r="M938" s="3">
        <v>399044</v>
      </c>
      <c r="N938" s="4">
        <v>11</v>
      </c>
    </row>
    <row r="939" spans="1:14" x14ac:dyDescent="0.25">
      <c r="A939" s="2">
        <v>4</v>
      </c>
      <c r="B939" s="1" t="s">
        <v>61</v>
      </c>
      <c r="C939" s="1" t="s">
        <v>62</v>
      </c>
      <c r="D939" s="1" t="s">
        <v>63</v>
      </c>
      <c r="E939" s="11" t="s">
        <v>51</v>
      </c>
      <c r="F939" s="12">
        <v>45962</v>
      </c>
      <c r="G939" s="1" t="s">
        <v>37</v>
      </c>
      <c r="H939" s="1" t="s">
        <v>39</v>
      </c>
      <c r="I939" s="2">
        <v>6</v>
      </c>
      <c r="J939" s="3">
        <v>64864</v>
      </c>
      <c r="K939" s="3">
        <v>389184</v>
      </c>
      <c r="L939" s="3">
        <v>192085</v>
      </c>
      <c r="M939" s="3">
        <v>197099</v>
      </c>
      <c r="N939" s="4">
        <v>11</v>
      </c>
    </row>
    <row r="940" spans="1:14" x14ac:dyDescent="0.25">
      <c r="A940" s="2">
        <v>4</v>
      </c>
      <c r="B940" s="1" t="s">
        <v>61</v>
      </c>
      <c r="C940" s="1" t="s">
        <v>62</v>
      </c>
      <c r="D940" s="1" t="s">
        <v>63</v>
      </c>
      <c r="E940" s="11" t="s">
        <v>51</v>
      </c>
      <c r="F940" s="12">
        <v>45962</v>
      </c>
      <c r="G940" s="1" t="s">
        <v>37</v>
      </c>
      <c r="H940" s="1" t="s">
        <v>40</v>
      </c>
      <c r="I940" s="2">
        <v>16</v>
      </c>
      <c r="J940" s="3">
        <v>31950</v>
      </c>
      <c r="K940" s="3">
        <v>511200</v>
      </c>
      <c r="L940" s="3">
        <v>238189</v>
      </c>
      <c r="M940" s="3">
        <v>273011</v>
      </c>
      <c r="N940" s="4">
        <v>11</v>
      </c>
    </row>
    <row r="941" spans="1:14" x14ac:dyDescent="0.25">
      <c r="A941" s="2">
        <v>4</v>
      </c>
      <c r="B941" s="1" t="s">
        <v>61</v>
      </c>
      <c r="C941" s="1" t="s">
        <v>62</v>
      </c>
      <c r="D941" s="1" t="s">
        <v>64</v>
      </c>
      <c r="E941" s="11" t="s">
        <v>51</v>
      </c>
      <c r="F941" s="12">
        <v>45962</v>
      </c>
      <c r="G941" s="1" t="s">
        <v>37</v>
      </c>
      <c r="H941" s="1" t="s">
        <v>41</v>
      </c>
      <c r="I941" s="2">
        <v>12</v>
      </c>
      <c r="J941" s="3">
        <v>23866</v>
      </c>
      <c r="K941" s="3">
        <v>286392</v>
      </c>
      <c r="L941" s="3">
        <v>163989</v>
      </c>
      <c r="M941" s="3">
        <v>122403</v>
      </c>
      <c r="N941" s="4">
        <v>9</v>
      </c>
    </row>
    <row r="942" spans="1:14" x14ac:dyDescent="0.25">
      <c r="A942" s="2">
        <v>4</v>
      </c>
      <c r="B942" s="1" t="s">
        <v>61</v>
      </c>
      <c r="C942" s="1" t="s">
        <v>62</v>
      </c>
      <c r="D942" s="1" t="s">
        <v>64</v>
      </c>
      <c r="E942" s="11" t="s">
        <v>52</v>
      </c>
      <c r="F942" s="12">
        <v>45992</v>
      </c>
      <c r="G942" s="1" t="s">
        <v>16</v>
      </c>
      <c r="H942" s="1" t="s">
        <v>17</v>
      </c>
      <c r="I942" s="2">
        <v>15</v>
      </c>
      <c r="J942" s="3">
        <v>134397</v>
      </c>
      <c r="K942" s="3">
        <v>2015955</v>
      </c>
      <c r="L942" s="3">
        <v>1028782</v>
      </c>
      <c r="M942" s="3">
        <v>987173</v>
      </c>
      <c r="N942" s="4">
        <v>4</v>
      </c>
    </row>
    <row r="943" spans="1:14" x14ac:dyDescent="0.25">
      <c r="A943" s="2">
        <v>4</v>
      </c>
      <c r="B943" s="1" t="s">
        <v>61</v>
      </c>
      <c r="C943" s="1" t="s">
        <v>62</v>
      </c>
      <c r="D943" s="1" t="s">
        <v>64</v>
      </c>
      <c r="E943" s="11" t="s">
        <v>52</v>
      </c>
      <c r="F943" s="12">
        <v>45992</v>
      </c>
      <c r="G943" s="1" t="s">
        <v>16</v>
      </c>
      <c r="H943" s="1" t="s">
        <v>19</v>
      </c>
      <c r="I943" s="2">
        <v>6</v>
      </c>
      <c r="J943" s="3">
        <v>113574</v>
      </c>
      <c r="K943" s="3">
        <v>681444</v>
      </c>
      <c r="L943" s="3">
        <v>276165</v>
      </c>
      <c r="M943" s="3">
        <v>405279</v>
      </c>
      <c r="N943" s="4">
        <v>4</v>
      </c>
    </row>
    <row r="944" spans="1:14" x14ac:dyDescent="0.25">
      <c r="A944" s="2">
        <v>4</v>
      </c>
      <c r="B944" s="1" t="s">
        <v>61</v>
      </c>
      <c r="C944" s="1" t="s">
        <v>62</v>
      </c>
      <c r="D944" s="1" t="s">
        <v>63</v>
      </c>
      <c r="E944" s="11" t="s">
        <v>52</v>
      </c>
      <c r="F944" s="12">
        <v>45992</v>
      </c>
      <c r="G944" s="1" t="s">
        <v>16</v>
      </c>
      <c r="H944" s="1" t="s">
        <v>20</v>
      </c>
      <c r="I944" s="2">
        <v>1</v>
      </c>
      <c r="J944" s="3">
        <v>75350</v>
      </c>
      <c r="K944" s="3">
        <v>75350</v>
      </c>
      <c r="L944" s="3">
        <v>41848</v>
      </c>
      <c r="M944" s="3">
        <v>33502</v>
      </c>
      <c r="N944" s="4">
        <v>3</v>
      </c>
    </row>
    <row r="945" spans="1:14" x14ac:dyDescent="0.25">
      <c r="A945" s="2">
        <v>4</v>
      </c>
      <c r="B945" s="1" t="s">
        <v>61</v>
      </c>
      <c r="C945" s="1" t="s">
        <v>62</v>
      </c>
      <c r="D945" s="1" t="s">
        <v>63</v>
      </c>
      <c r="E945" s="11" t="s">
        <v>52</v>
      </c>
      <c r="F945" s="12">
        <v>45992</v>
      </c>
      <c r="G945" s="1" t="s">
        <v>16</v>
      </c>
      <c r="H945" s="1" t="s">
        <v>21</v>
      </c>
      <c r="I945" s="2">
        <v>12</v>
      </c>
      <c r="J945" s="3">
        <v>66607</v>
      </c>
      <c r="K945" s="3">
        <v>799284</v>
      </c>
      <c r="L945" s="3">
        <v>455933</v>
      </c>
      <c r="M945" s="3">
        <v>343351</v>
      </c>
      <c r="N945" s="4">
        <v>4</v>
      </c>
    </row>
    <row r="946" spans="1:14" x14ac:dyDescent="0.25">
      <c r="A946" s="2">
        <v>4</v>
      </c>
      <c r="B946" s="1" t="s">
        <v>61</v>
      </c>
      <c r="C946" s="1" t="s">
        <v>62</v>
      </c>
      <c r="D946" s="1" t="s">
        <v>63</v>
      </c>
      <c r="E946" s="11" t="s">
        <v>52</v>
      </c>
      <c r="F946" s="12">
        <v>45992</v>
      </c>
      <c r="G946" s="1" t="s">
        <v>22</v>
      </c>
      <c r="H946" s="1" t="s">
        <v>23</v>
      </c>
      <c r="I946" s="2">
        <v>4</v>
      </c>
      <c r="J946" s="3">
        <v>70124</v>
      </c>
      <c r="K946" s="3">
        <v>280496</v>
      </c>
      <c r="L946" s="3">
        <v>194175</v>
      </c>
      <c r="M946" s="3">
        <v>86321</v>
      </c>
      <c r="N946" s="4">
        <v>14</v>
      </c>
    </row>
    <row r="947" spans="1:14" x14ac:dyDescent="0.25">
      <c r="A947" s="2">
        <v>4</v>
      </c>
      <c r="B947" s="1" t="s">
        <v>61</v>
      </c>
      <c r="C947" s="1" t="s">
        <v>62</v>
      </c>
      <c r="D947" s="1" t="s">
        <v>63</v>
      </c>
      <c r="E947" s="11" t="s">
        <v>52</v>
      </c>
      <c r="F947" s="12">
        <v>45992</v>
      </c>
      <c r="G947" s="1" t="s">
        <v>22</v>
      </c>
      <c r="H947" s="1" t="s">
        <v>24</v>
      </c>
      <c r="I947" s="2">
        <v>19</v>
      </c>
      <c r="J947" s="3">
        <v>40936</v>
      </c>
      <c r="K947" s="3">
        <v>777784</v>
      </c>
      <c r="L947" s="3">
        <v>438739</v>
      </c>
      <c r="M947" s="3">
        <v>339045</v>
      </c>
      <c r="N947" s="4">
        <v>7</v>
      </c>
    </row>
    <row r="948" spans="1:14" x14ac:dyDescent="0.25">
      <c r="A948" s="2">
        <v>4</v>
      </c>
      <c r="B948" s="1" t="s">
        <v>61</v>
      </c>
      <c r="C948" s="1" t="s">
        <v>62</v>
      </c>
      <c r="D948" s="1" t="s">
        <v>63</v>
      </c>
      <c r="E948" s="11" t="s">
        <v>52</v>
      </c>
      <c r="F948" s="12">
        <v>45992</v>
      </c>
      <c r="G948" s="1" t="s">
        <v>22</v>
      </c>
      <c r="H948" s="1" t="s">
        <v>25</v>
      </c>
      <c r="I948" s="2">
        <v>1</v>
      </c>
      <c r="J948" s="3">
        <v>47606</v>
      </c>
      <c r="K948" s="3">
        <v>47606</v>
      </c>
      <c r="L948" s="3">
        <v>30187</v>
      </c>
      <c r="M948" s="3">
        <v>17419</v>
      </c>
      <c r="N948" s="4">
        <v>7</v>
      </c>
    </row>
    <row r="949" spans="1:14" x14ac:dyDescent="0.25">
      <c r="A949" s="2">
        <v>4</v>
      </c>
      <c r="B949" s="1" t="s">
        <v>61</v>
      </c>
      <c r="C949" s="1" t="s">
        <v>62</v>
      </c>
      <c r="D949" s="1" t="s">
        <v>63</v>
      </c>
      <c r="E949" s="11" t="s">
        <v>52</v>
      </c>
      <c r="F949" s="12">
        <v>45992</v>
      </c>
      <c r="G949" s="1" t="s">
        <v>22</v>
      </c>
      <c r="H949" s="1" t="s">
        <v>26</v>
      </c>
      <c r="I949" s="2">
        <v>13</v>
      </c>
      <c r="J949" s="3">
        <v>129781</v>
      </c>
      <c r="K949" s="3">
        <v>1687153</v>
      </c>
      <c r="L949" s="3">
        <v>751961</v>
      </c>
      <c r="M949" s="3">
        <v>935192</v>
      </c>
      <c r="N949" s="4">
        <v>7</v>
      </c>
    </row>
    <row r="950" spans="1:14" x14ac:dyDescent="0.25">
      <c r="A950" s="2">
        <v>4</v>
      </c>
      <c r="B950" s="1" t="s">
        <v>61</v>
      </c>
      <c r="C950" s="1" t="s">
        <v>62</v>
      </c>
      <c r="D950" s="1" t="s">
        <v>63</v>
      </c>
      <c r="E950" s="11" t="s">
        <v>52</v>
      </c>
      <c r="F950" s="12">
        <v>45992</v>
      </c>
      <c r="G950" s="1" t="s">
        <v>27</v>
      </c>
      <c r="H950" s="1" t="s">
        <v>28</v>
      </c>
      <c r="I950" s="2">
        <v>3</v>
      </c>
      <c r="J950" s="3">
        <v>114108</v>
      </c>
      <c r="K950" s="3">
        <v>342324</v>
      </c>
      <c r="L950" s="3">
        <v>160368</v>
      </c>
      <c r="M950" s="3">
        <v>181956</v>
      </c>
      <c r="N950" s="4">
        <v>1</v>
      </c>
    </row>
    <row r="951" spans="1:14" x14ac:dyDescent="0.25">
      <c r="A951" s="2">
        <v>4</v>
      </c>
      <c r="B951" s="1" t="s">
        <v>61</v>
      </c>
      <c r="C951" s="1" t="s">
        <v>62</v>
      </c>
      <c r="D951" s="1" t="s">
        <v>63</v>
      </c>
      <c r="E951" s="11" t="s">
        <v>52</v>
      </c>
      <c r="F951" s="12">
        <v>45992</v>
      </c>
      <c r="G951" s="1" t="s">
        <v>27</v>
      </c>
      <c r="H951" s="1" t="s">
        <v>29</v>
      </c>
      <c r="I951" s="2">
        <v>2</v>
      </c>
      <c r="J951" s="3">
        <v>51131</v>
      </c>
      <c r="K951" s="3">
        <v>102262</v>
      </c>
      <c r="L951" s="3">
        <v>55428</v>
      </c>
      <c r="M951" s="3">
        <v>46834</v>
      </c>
      <c r="N951" s="4">
        <v>11</v>
      </c>
    </row>
    <row r="952" spans="1:14" x14ac:dyDescent="0.25">
      <c r="A952" s="2">
        <v>4</v>
      </c>
      <c r="B952" s="1" t="s">
        <v>61</v>
      </c>
      <c r="C952" s="1" t="s">
        <v>62</v>
      </c>
      <c r="D952" s="1" t="s">
        <v>63</v>
      </c>
      <c r="E952" s="11" t="s">
        <v>52</v>
      </c>
      <c r="F952" s="12">
        <v>45992</v>
      </c>
      <c r="G952" s="1" t="s">
        <v>27</v>
      </c>
      <c r="H952" s="1" t="s">
        <v>30</v>
      </c>
      <c r="I952" s="2">
        <v>12</v>
      </c>
      <c r="J952" s="3">
        <v>78585</v>
      </c>
      <c r="K952" s="3">
        <v>943020</v>
      </c>
      <c r="L952" s="3">
        <v>541918</v>
      </c>
      <c r="M952" s="3">
        <v>401102</v>
      </c>
      <c r="N952" s="4">
        <v>7</v>
      </c>
    </row>
    <row r="953" spans="1:14" x14ac:dyDescent="0.25">
      <c r="A953" s="2">
        <v>4</v>
      </c>
      <c r="B953" s="1" t="s">
        <v>61</v>
      </c>
      <c r="C953" s="1" t="s">
        <v>62</v>
      </c>
      <c r="D953" s="1" t="s">
        <v>63</v>
      </c>
      <c r="E953" s="11" t="s">
        <v>52</v>
      </c>
      <c r="F953" s="12">
        <v>45992</v>
      </c>
      <c r="G953" s="1" t="s">
        <v>27</v>
      </c>
      <c r="H953" s="1" t="s">
        <v>31</v>
      </c>
      <c r="I953" s="2">
        <v>9</v>
      </c>
      <c r="J953" s="3">
        <v>118934</v>
      </c>
      <c r="K953" s="3">
        <v>1070406</v>
      </c>
      <c r="L953" s="3">
        <v>680303</v>
      </c>
      <c r="M953" s="3">
        <v>390103</v>
      </c>
      <c r="N953" s="4">
        <v>3</v>
      </c>
    </row>
    <row r="954" spans="1:14" x14ac:dyDescent="0.25">
      <c r="A954" s="2">
        <v>4</v>
      </c>
      <c r="B954" s="1" t="s">
        <v>61</v>
      </c>
      <c r="C954" s="1" t="s">
        <v>62</v>
      </c>
      <c r="D954" s="1" t="s">
        <v>64</v>
      </c>
      <c r="E954" s="11" t="s">
        <v>52</v>
      </c>
      <c r="F954" s="12">
        <v>45992</v>
      </c>
      <c r="G954" s="1" t="s">
        <v>32</v>
      </c>
      <c r="H954" s="1" t="s">
        <v>33</v>
      </c>
      <c r="I954" s="2">
        <v>18</v>
      </c>
      <c r="J954" s="3">
        <v>16594</v>
      </c>
      <c r="K954" s="3">
        <v>298692</v>
      </c>
      <c r="L954" s="3">
        <v>205748</v>
      </c>
      <c r="M954" s="3">
        <v>92944</v>
      </c>
      <c r="N954" s="4">
        <v>11</v>
      </c>
    </row>
    <row r="955" spans="1:14" x14ac:dyDescent="0.25">
      <c r="A955" s="2">
        <v>4</v>
      </c>
      <c r="B955" s="1" t="s">
        <v>61</v>
      </c>
      <c r="C955" s="1" t="s">
        <v>62</v>
      </c>
      <c r="D955" s="1" t="s">
        <v>63</v>
      </c>
      <c r="E955" s="11" t="s">
        <v>52</v>
      </c>
      <c r="F955" s="12">
        <v>45992</v>
      </c>
      <c r="G955" s="1" t="s">
        <v>32</v>
      </c>
      <c r="H955" s="1" t="s">
        <v>34</v>
      </c>
      <c r="I955" s="2">
        <v>9</v>
      </c>
      <c r="J955" s="3">
        <v>14744</v>
      </c>
      <c r="K955" s="3">
        <v>132696</v>
      </c>
      <c r="L955" s="3">
        <v>62050</v>
      </c>
      <c r="M955" s="3">
        <v>70646</v>
      </c>
      <c r="N955" s="4">
        <v>11</v>
      </c>
    </row>
    <row r="956" spans="1:14" x14ac:dyDescent="0.25">
      <c r="A956" s="2">
        <v>4</v>
      </c>
      <c r="B956" s="1" t="s">
        <v>61</v>
      </c>
      <c r="C956" s="1" t="s">
        <v>62</v>
      </c>
      <c r="D956" s="1" t="s">
        <v>63</v>
      </c>
      <c r="E956" s="11" t="s">
        <v>52</v>
      </c>
      <c r="F956" s="12">
        <v>45992</v>
      </c>
      <c r="G956" s="1" t="s">
        <v>32</v>
      </c>
      <c r="H956" s="1" t="s">
        <v>35</v>
      </c>
      <c r="I956" s="2">
        <v>7</v>
      </c>
      <c r="J956" s="3">
        <v>15601</v>
      </c>
      <c r="K956" s="3">
        <v>109207</v>
      </c>
      <c r="L956" s="3">
        <v>73040</v>
      </c>
      <c r="M956" s="3">
        <v>36167</v>
      </c>
      <c r="N956" s="4">
        <v>8</v>
      </c>
    </row>
    <row r="957" spans="1:14" x14ac:dyDescent="0.25">
      <c r="A957" s="2">
        <v>4</v>
      </c>
      <c r="B957" s="1" t="s">
        <v>61</v>
      </c>
      <c r="C957" s="1" t="s">
        <v>62</v>
      </c>
      <c r="D957" s="1" t="s">
        <v>63</v>
      </c>
      <c r="E957" s="11" t="s">
        <v>52</v>
      </c>
      <c r="F957" s="12">
        <v>45992</v>
      </c>
      <c r="G957" s="1" t="s">
        <v>32</v>
      </c>
      <c r="H957" s="1" t="s">
        <v>36</v>
      </c>
      <c r="I957" s="2">
        <v>10</v>
      </c>
      <c r="J957" s="3">
        <v>19842</v>
      </c>
      <c r="K957" s="3">
        <v>198420</v>
      </c>
      <c r="L957" s="3">
        <v>113791</v>
      </c>
      <c r="M957" s="3">
        <v>84629</v>
      </c>
      <c r="N957" s="4">
        <v>10</v>
      </c>
    </row>
    <row r="958" spans="1:14" x14ac:dyDescent="0.25">
      <c r="A958" s="2">
        <v>4</v>
      </c>
      <c r="B958" s="1" t="s">
        <v>61</v>
      </c>
      <c r="C958" s="1" t="s">
        <v>62</v>
      </c>
      <c r="D958" s="1" t="s">
        <v>64</v>
      </c>
      <c r="E958" s="11" t="s">
        <v>52</v>
      </c>
      <c r="F958" s="12">
        <v>45992</v>
      </c>
      <c r="G958" s="1" t="s">
        <v>37</v>
      </c>
      <c r="H958" s="1" t="s">
        <v>38</v>
      </c>
      <c r="I958" s="2">
        <v>13</v>
      </c>
      <c r="J958" s="3">
        <v>138452</v>
      </c>
      <c r="K958" s="3">
        <v>1799876</v>
      </c>
      <c r="L958" s="3">
        <v>1004653</v>
      </c>
      <c r="M958" s="3">
        <v>795223</v>
      </c>
      <c r="N958" s="4">
        <v>3</v>
      </c>
    </row>
    <row r="959" spans="1:14" x14ac:dyDescent="0.25">
      <c r="A959" s="2">
        <v>4</v>
      </c>
      <c r="B959" s="1" t="s">
        <v>61</v>
      </c>
      <c r="C959" s="1" t="s">
        <v>62</v>
      </c>
      <c r="D959" s="1" t="s">
        <v>63</v>
      </c>
      <c r="E959" s="11" t="s">
        <v>52</v>
      </c>
      <c r="F959" s="12">
        <v>45992</v>
      </c>
      <c r="G959" s="1" t="s">
        <v>37</v>
      </c>
      <c r="H959" s="1" t="s">
        <v>39</v>
      </c>
      <c r="I959" s="2">
        <v>15</v>
      </c>
      <c r="J959" s="3">
        <v>27006</v>
      </c>
      <c r="K959" s="3">
        <v>405090</v>
      </c>
      <c r="L959" s="3">
        <v>243961</v>
      </c>
      <c r="M959" s="3">
        <v>161129</v>
      </c>
      <c r="N959" s="4">
        <v>10</v>
      </c>
    </row>
    <row r="960" spans="1:14" x14ac:dyDescent="0.25">
      <c r="A960" s="2">
        <v>4</v>
      </c>
      <c r="B960" s="1" t="s">
        <v>61</v>
      </c>
      <c r="C960" s="1" t="s">
        <v>62</v>
      </c>
      <c r="D960" s="1" t="s">
        <v>63</v>
      </c>
      <c r="E960" s="11" t="s">
        <v>52</v>
      </c>
      <c r="F960" s="12">
        <v>45992</v>
      </c>
      <c r="G960" s="1" t="s">
        <v>37</v>
      </c>
      <c r="H960" s="1" t="s">
        <v>40</v>
      </c>
      <c r="I960" s="2">
        <v>1</v>
      </c>
      <c r="J960" s="3">
        <v>53840</v>
      </c>
      <c r="K960" s="3">
        <v>53840</v>
      </c>
      <c r="L960" s="3">
        <v>36838</v>
      </c>
      <c r="M960" s="3">
        <v>17002</v>
      </c>
      <c r="N960" s="4">
        <v>5</v>
      </c>
    </row>
    <row r="961" spans="1:14" x14ac:dyDescent="0.25">
      <c r="A961" s="2">
        <v>4</v>
      </c>
      <c r="B961" s="1" t="s">
        <v>61</v>
      </c>
      <c r="C961" s="1" t="s">
        <v>62</v>
      </c>
      <c r="D961" s="1" t="s">
        <v>63</v>
      </c>
      <c r="E961" s="11" t="s">
        <v>52</v>
      </c>
      <c r="F961" s="12">
        <v>45992</v>
      </c>
      <c r="G961" s="1" t="s">
        <v>37</v>
      </c>
      <c r="H961" s="1" t="s">
        <v>41</v>
      </c>
      <c r="I961" s="2">
        <v>15</v>
      </c>
      <c r="J961" s="3">
        <v>110270</v>
      </c>
      <c r="K961" s="3">
        <v>1654050</v>
      </c>
      <c r="L961" s="3">
        <v>1012801</v>
      </c>
      <c r="M961" s="3">
        <v>641249</v>
      </c>
      <c r="N961" s="4">
        <v>1</v>
      </c>
    </row>
    <row r="962" spans="1:14" x14ac:dyDescent="0.25">
      <c r="A962" s="2">
        <v>5</v>
      </c>
      <c r="B962" s="1" t="s">
        <v>65</v>
      </c>
      <c r="C962" s="1" t="s">
        <v>66</v>
      </c>
      <c r="D962" s="1" t="s">
        <v>67</v>
      </c>
      <c r="E962" s="11" t="s">
        <v>15</v>
      </c>
      <c r="F962" s="12">
        <v>45658</v>
      </c>
      <c r="G962" s="1" t="s">
        <v>16</v>
      </c>
      <c r="H962" s="1" t="s">
        <v>17</v>
      </c>
      <c r="I962" s="2">
        <v>17</v>
      </c>
      <c r="J962" s="3">
        <v>36241</v>
      </c>
      <c r="K962" s="3">
        <v>616097</v>
      </c>
      <c r="L962" s="3">
        <v>247888</v>
      </c>
      <c r="M962" s="3">
        <v>368209</v>
      </c>
      <c r="N962" s="4">
        <v>3</v>
      </c>
    </row>
    <row r="963" spans="1:14" x14ac:dyDescent="0.25">
      <c r="A963" s="2">
        <v>5</v>
      </c>
      <c r="B963" s="1" t="s">
        <v>65</v>
      </c>
      <c r="C963" s="1" t="s">
        <v>66</v>
      </c>
      <c r="D963" s="1" t="s">
        <v>68</v>
      </c>
      <c r="E963" s="11" t="s">
        <v>15</v>
      </c>
      <c r="F963" s="12">
        <v>45658</v>
      </c>
      <c r="G963" s="1" t="s">
        <v>16</v>
      </c>
      <c r="H963" s="1" t="s">
        <v>19</v>
      </c>
      <c r="I963" s="2">
        <v>9</v>
      </c>
      <c r="J963" s="3">
        <v>67562</v>
      </c>
      <c r="K963" s="3">
        <v>608058</v>
      </c>
      <c r="L963" s="3">
        <v>251352</v>
      </c>
      <c r="M963" s="3">
        <v>356706</v>
      </c>
      <c r="N963" s="4">
        <v>0</v>
      </c>
    </row>
    <row r="964" spans="1:14" x14ac:dyDescent="0.25">
      <c r="A964" s="2">
        <v>5</v>
      </c>
      <c r="B964" s="1" t="s">
        <v>65</v>
      </c>
      <c r="C964" s="1" t="s">
        <v>66</v>
      </c>
      <c r="D964" s="1" t="s">
        <v>67</v>
      </c>
      <c r="E964" s="11" t="s">
        <v>15</v>
      </c>
      <c r="F964" s="12">
        <v>45658</v>
      </c>
      <c r="G964" s="1" t="s">
        <v>16</v>
      </c>
      <c r="H964" s="1" t="s">
        <v>20</v>
      </c>
      <c r="I964" s="2">
        <v>18</v>
      </c>
      <c r="J964" s="3">
        <v>47045</v>
      </c>
      <c r="K964" s="3">
        <v>846810</v>
      </c>
      <c r="L964" s="3">
        <v>473280</v>
      </c>
      <c r="M964" s="3">
        <v>373530</v>
      </c>
      <c r="N964" s="4">
        <v>14</v>
      </c>
    </row>
    <row r="965" spans="1:14" x14ac:dyDescent="0.25">
      <c r="A965" s="2">
        <v>5</v>
      </c>
      <c r="B965" s="1" t="s">
        <v>65</v>
      </c>
      <c r="C965" s="1" t="s">
        <v>66</v>
      </c>
      <c r="D965" s="1" t="s">
        <v>68</v>
      </c>
      <c r="E965" s="11" t="s">
        <v>15</v>
      </c>
      <c r="F965" s="12">
        <v>45658</v>
      </c>
      <c r="G965" s="1" t="s">
        <v>16</v>
      </c>
      <c r="H965" s="1" t="s">
        <v>21</v>
      </c>
      <c r="I965" s="2">
        <v>14</v>
      </c>
      <c r="J965" s="3">
        <v>47076</v>
      </c>
      <c r="K965" s="3">
        <v>659064</v>
      </c>
      <c r="L965" s="3">
        <v>386391</v>
      </c>
      <c r="M965" s="3">
        <v>272673</v>
      </c>
      <c r="N965" s="4">
        <v>13</v>
      </c>
    </row>
    <row r="966" spans="1:14" x14ac:dyDescent="0.25">
      <c r="A966" s="2">
        <v>5</v>
      </c>
      <c r="B966" s="1" t="s">
        <v>65</v>
      </c>
      <c r="C966" s="1" t="s">
        <v>66</v>
      </c>
      <c r="D966" s="1" t="s">
        <v>68</v>
      </c>
      <c r="E966" s="11" t="s">
        <v>15</v>
      </c>
      <c r="F966" s="12">
        <v>45658</v>
      </c>
      <c r="G966" s="1" t="s">
        <v>22</v>
      </c>
      <c r="H966" s="1" t="s">
        <v>23</v>
      </c>
      <c r="I966" s="2">
        <v>18</v>
      </c>
      <c r="J966" s="3">
        <v>85101</v>
      </c>
      <c r="K966" s="3">
        <v>1531818</v>
      </c>
      <c r="L966" s="3">
        <v>863904</v>
      </c>
      <c r="M966" s="3">
        <v>667914</v>
      </c>
      <c r="N966" s="4">
        <v>12</v>
      </c>
    </row>
    <row r="967" spans="1:14" x14ac:dyDescent="0.25">
      <c r="A967" s="2">
        <v>5</v>
      </c>
      <c r="B967" s="1" t="s">
        <v>65</v>
      </c>
      <c r="C967" s="1" t="s">
        <v>66</v>
      </c>
      <c r="D967" s="1" t="s">
        <v>68</v>
      </c>
      <c r="E967" s="11" t="s">
        <v>15</v>
      </c>
      <c r="F967" s="12">
        <v>45658</v>
      </c>
      <c r="G967" s="1" t="s">
        <v>22</v>
      </c>
      <c r="H967" s="1" t="s">
        <v>24</v>
      </c>
      <c r="I967" s="2">
        <v>3</v>
      </c>
      <c r="J967" s="3">
        <v>57853</v>
      </c>
      <c r="K967" s="3">
        <v>173559</v>
      </c>
      <c r="L967" s="3">
        <v>114408</v>
      </c>
      <c r="M967" s="3">
        <v>59151</v>
      </c>
      <c r="N967" s="4">
        <v>7</v>
      </c>
    </row>
    <row r="968" spans="1:14" x14ac:dyDescent="0.25">
      <c r="A968" s="2">
        <v>5</v>
      </c>
      <c r="B968" s="1" t="s">
        <v>65</v>
      </c>
      <c r="C968" s="1" t="s">
        <v>66</v>
      </c>
      <c r="D968" s="1" t="s">
        <v>67</v>
      </c>
      <c r="E968" s="11" t="s">
        <v>15</v>
      </c>
      <c r="F968" s="12">
        <v>45658</v>
      </c>
      <c r="G968" s="1" t="s">
        <v>22</v>
      </c>
      <c r="H968" s="1" t="s">
        <v>25</v>
      </c>
      <c r="I968" s="2">
        <v>12</v>
      </c>
      <c r="J968" s="3">
        <v>20492</v>
      </c>
      <c r="K968" s="3">
        <v>245904</v>
      </c>
      <c r="L968" s="3">
        <v>102048</v>
      </c>
      <c r="M968" s="3">
        <v>143856</v>
      </c>
      <c r="N968" s="4">
        <v>0</v>
      </c>
    </row>
    <row r="969" spans="1:14" x14ac:dyDescent="0.25">
      <c r="A969" s="2">
        <v>5</v>
      </c>
      <c r="B969" s="1" t="s">
        <v>65</v>
      </c>
      <c r="C969" s="1" t="s">
        <v>66</v>
      </c>
      <c r="D969" s="1" t="s">
        <v>67</v>
      </c>
      <c r="E969" s="11" t="s">
        <v>15</v>
      </c>
      <c r="F969" s="12">
        <v>45658</v>
      </c>
      <c r="G969" s="1" t="s">
        <v>22</v>
      </c>
      <c r="H969" s="1" t="s">
        <v>26</v>
      </c>
      <c r="I969" s="2">
        <v>17</v>
      </c>
      <c r="J969" s="3">
        <v>113935</v>
      </c>
      <c r="K969" s="3">
        <v>1936895</v>
      </c>
      <c r="L969" s="3">
        <v>1352910</v>
      </c>
      <c r="M969" s="3">
        <v>583985</v>
      </c>
      <c r="N969" s="4">
        <v>1</v>
      </c>
    </row>
    <row r="970" spans="1:14" x14ac:dyDescent="0.25">
      <c r="A970" s="2">
        <v>5</v>
      </c>
      <c r="B970" s="1" t="s">
        <v>65</v>
      </c>
      <c r="C970" s="1" t="s">
        <v>66</v>
      </c>
      <c r="D970" s="1" t="s">
        <v>67</v>
      </c>
      <c r="E970" s="11" t="s">
        <v>15</v>
      </c>
      <c r="F970" s="12">
        <v>45658</v>
      </c>
      <c r="G970" s="1" t="s">
        <v>27</v>
      </c>
      <c r="H970" s="1" t="s">
        <v>28</v>
      </c>
      <c r="I970" s="2">
        <v>11</v>
      </c>
      <c r="J970" s="3">
        <v>74110</v>
      </c>
      <c r="K970" s="3">
        <v>815210</v>
      </c>
      <c r="L970" s="3">
        <v>385262</v>
      </c>
      <c r="M970" s="3">
        <v>429948</v>
      </c>
      <c r="N970" s="4">
        <v>5</v>
      </c>
    </row>
    <row r="971" spans="1:14" x14ac:dyDescent="0.25">
      <c r="A971" s="2">
        <v>5</v>
      </c>
      <c r="B971" s="1" t="s">
        <v>65</v>
      </c>
      <c r="C971" s="1" t="s">
        <v>66</v>
      </c>
      <c r="D971" s="1" t="s">
        <v>68</v>
      </c>
      <c r="E971" s="11" t="s">
        <v>15</v>
      </c>
      <c r="F971" s="12">
        <v>45658</v>
      </c>
      <c r="G971" s="1" t="s">
        <v>27</v>
      </c>
      <c r="H971" s="1" t="s">
        <v>29</v>
      </c>
      <c r="I971" s="2">
        <v>9</v>
      </c>
      <c r="J971" s="3">
        <v>132911</v>
      </c>
      <c r="K971" s="3">
        <v>1196199</v>
      </c>
      <c r="L971" s="3">
        <v>706907</v>
      </c>
      <c r="M971" s="3">
        <v>489292</v>
      </c>
      <c r="N971" s="4">
        <v>11</v>
      </c>
    </row>
    <row r="972" spans="1:14" x14ac:dyDescent="0.25">
      <c r="A972" s="2">
        <v>5</v>
      </c>
      <c r="B972" s="1" t="s">
        <v>65</v>
      </c>
      <c r="C972" s="1" t="s">
        <v>66</v>
      </c>
      <c r="D972" s="1" t="s">
        <v>67</v>
      </c>
      <c r="E972" s="11" t="s">
        <v>15</v>
      </c>
      <c r="F972" s="12">
        <v>45658</v>
      </c>
      <c r="G972" s="1" t="s">
        <v>27</v>
      </c>
      <c r="H972" s="1" t="s">
        <v>30</v>
      </c>
      <c r="I972" s="2">
        <v>16</v>
      </c>
      <c r="J972" s="3">
        <v>137431</v>
      </c>
      <c r="K972" s="3">
        <v>2198896</v>
      </c>
      <c r="L972" s="3">
        <v>1349059</v>
      </c>
      <c r="M972" s="3">
        <v>849837</v>
      </c>
      <c r="N972" s="4">
        <v>9</v>
      </c>
    </row>
    <row r="973" spans="1:14" x14ac:dyDescent="0.25">
      <c r="A973" s="2">
        <v>5</v>
      </c>
      <c r="B973" s="1" t="s">
        <v>65</v>
      </c>
      <c r="C973" s="1" t="s">
        <v>66</v>
      </c>
      <c r="D973" s="1" t="s">
        <v>67</v>
      </c>
      <c r="E973" s="11" t="s">
        <v>15</v>
      </c>
      <c r="F973" s="12">
        <v>45658</v>
      </c>
      <c r="G973" s="1" t="s">
        <v>27</v>
      </c>
      <c r="H973" s="1" t="s">
        <v>31</v>
      </c>
      <c r="I973" s="2">
        <v>12</v>
      </c>
      <c r="J973" s="3">
        <v>107178</v>
      </c>
      <c r="K973" s="3">
        <v>1286136</v>
      </c>
      <c r="L973" s="3">
        <v>691541</v>
      </c>
      <c r="M973" s="3">
        <v>594595</v>
      </c>
      <c r="N973" s="4">
        <v>1</v>
      </c>
    </row>
    <row r="974" spans="1:14" x14ac:dyDescent="0.25">
      <c r="A974" s="2">
        <v>5</v>
      </c>
      <c r="B974" s="1" t="s">
        <v>65</v>
      </c>
      <c r="C974" s="1" t="s">
        <v>66</v>
      </c>
      <c r="D974" s="1" t="s">
        <v>68</v>
      </c>
      <c r="E974" s="11" t="s">
        <v>15</v>
      </c>
      <c r="F974" s="12">
        <v>45658</v>
      </c>
      <c r="G974" s="1" t="s">
        <v>32</v>
      </c>
      <c r="H974" s="1" t="s">
        <v>33</v>
      </c>
      <c r="I974" s="2">
        <v>19</v>
      </c>
      <c r="J974" s="3">
        <v>11102</v>
      </c>
      <c r="K974" s="3">
        <v>210938</v>
      </c>
      <c r="L974" s="3">
        <v>88999</v>
      </c>
      <c r="M974" s="3">
        <v>121939</v>
      </c>
      <c r="N974" s="4">
        <v>5</v>
      </c>
    </row>
    <row r="975" spans="1:14" x14ac:dyDescent="0.25">
      <c r="A975" s="2">
        <v>5</v>
      </c>
      <c r="B975" s="1" t="s">
        <v>65</v>
      </c>
      <c r="C975" s="1" t="s">
        <v>66</v>
      </c>
      <c r="D975" s="1" t="s">
        <v>68</v>
      </c>
      <c r="E975" s="11" t="s">
        <v>15</v>
      </c>
      <c r="F975" s="12">
        <v>45658</v>
      </c>
      <c r="G975" s="1" t="s">
        <v>32</v>
      </c>
      <c r="H975" s="1" t="s">
        <v>34</v>
      </c>
      <c r="I975" s="2">
        <v>18</v>
      </c>
      <c r="J975" s="3">
        <v>19489</v>
      </c>
      <c r="K975" s="3">
        <v>350802</v>
      </c>
      <c r="L975" s="3">
        <v>141814</v>
      </c>
      <c r="M975" s="3">
        <v>208988</v>
      </c>
      <c r="N975" s="4">
        <v>11</v>
      </c>
    </row>
    <row r="976" spans="1:14" x14ac:dyDescent="0.25">
      <c r="A976" s="2">
        <v>5</v>
      </c>
      <c r="B976" s="1" t="s">
        <v>65</v>
      </c>
      <c r="C976" s="1" t="s">
        <v>66</v>
      </c>
      <c r="D976" s="1" t="s">
        <v>67</v>
      </c>
      <c r="E976" s="11" t="s">
        <v>15</v>
      </c>
      <c r="F976" s="12">
        <v>45658</v>
      </c>
      <c r="G976" s="1" t="s">
        <v>32</v>
      </c>
      <c r="H976" s="1" t="s">
        <v>35</v>
      </c>
      <c r="I976" s="2">
        <v>19</v>
      </c>
      <c r="J976" s="3">
        <v>13988</v>
      </c>
      <c r="K976" s="3">
        <v>265772</v>
      </c>
      <c r="L976" s="3">
        <v>178697</v>
      </c>
      <c r="M976" s="3">
        <v>87075</v>
      </c>
      <c r="N976" s="4">
        <v>1</v>
      </c>
    </row>
    <row r="977" spans="1:14" x14ac:dyDescent="0.25">
      <c r="A977" s="2">
        <v>5</v>
      </c>
      <c r="B977" s="1" t="s">
        <v>65</v>
      </c>
      <c r="C977" s="1" t="s">
        <v>66</v>
      </c>
      <c r="D977" s="1" t="s">
        <v>67</v>
      </c>
      <c r="E977" s="11" t="s">
        <v>15</v>
      </c>
      <c r="F977" s="12">
        <v>45658</v>
      </c>
      <c r="G977" s="1" t="s">
        <v>32</v>
      </c>
      <c r="H977" s="1" t="s">
        <v>36</v>
      </c>
      <c r="I977" s="2">
        <v>17</v>
      </c>
      <c r="J977" s="3">
        <v>17906</v>
      </c>
      <c r="K977" s="3">
        <v>304402</v>
      </c>
      <c r="L977" s="3">
        <v>157851</v>
      </c>
      <c r="M977" s="3">
        <v>146551</v>
      </c>
      <c r="N977" s="4">
        <v>1</v>
      </c>
    </row>
    <row r="978" spans="1:14" x14ac:dyDescent="0.25">
      <c r="A978" s="2">
        <v>5</v>
      </c>
      <c r="B978" s="1" t="s">
        <v>65</v>
      </c>
      <c r="C978" s="1" t="s">
        <v>66</v>
      </c>
      <c r="D978" s="1" t="s">
        <v>68</v>
      </c>
      <c r="E978" s="11" t="s">
        <v>15</v>
      </c>
      <c r="F978" s="12">
        <v>45658</v>
      </c>
      <c r="G978" s="1" t="s">
        <v>37</v>
      </c>
      <c r="H978" s="1" t="s">
        <v>38</v>
      </c>
      <c r="I978" s="2">
        <v>2</v>
      </c>
      <c r="J978" s="3">
        <v>90902</v>
      </c>
      <c r="K978" s="3">
        <v>181804</v>
      </c>
      <c r="L978" s="3">
        <v>94145</v>
      </c>
      <c r="M978" s="3">
        <v>87659</v>
      </c>
      <c r="N978" s="4">
        <v>9</v>
      </c>
    </row>
    <row r="979" spans="1:14" x14ac:dyDescent="0.25">
      <c r="A979" s="2">
        <v>5</v>
      </c>
      <c r="B979" s="1" t="s">
        <v>65</v>
      </c>
      <c r="C979" s="1" t="s">
        <v>66</v>
      </c>
      <c r="D979" s="1" t="s">
        <v>67</v>
      </c>
      <c r="E979" s="11" t="s">
        <v>15</v>
      </c>
      <c r="F979" s="12">
        <v>45658</v>
      </c>
      <c r="G979" s="1" t="s">
        <v>37</v>
      </c>
      <c r="H979" s="1" t="s">
        <v>39</v>
      </c>
      <c r="I979" s="2">
        <v>8</v>
      </c>
      <c r="J979" s="3">
        <v>96253</v>
      </c>
      <c r="K979" s="3">
        <v>770024</v>
      </c>
      <c r="L979" s="3">
        <v>473949</v>
      </c>
      <c r="M979" s="3">
        <v>296075</v>
      </c>
      <c r="N979" s="4">
        <v>14</v>
      </c>
    </row>
    <row r="980" spans="1:14" x14ac:dyDescent="0.25">
      <c r="A980" s="2">
        <v>5</v>
      </c>
      <c r="B980" s="1" t="s">
        <v>65</v>
      </c>
      <c r="C980" s="1" t="s">
        <v>66</v>
      </c>
      <c r="D980" s="1" t="s">
        <v>68</v>
      </c>
      <c r="E980" s="11" t="s">
        <v>15</v>
      </c>
      <c r="F980" s="12">
        <v>45658</v>
      </c>
      <c r="G980" s="1" t="s">
        <v>37</v>
      </c>
      <c r="H980" s="1" t="s">
        <v>40</v>
      </c>
      <c r="I980" s="2">
        <v>1</v>
      </c>
      <c r="J980" s="3">
        <v>76746</v>
      </c>
      <c r="K980" s="3">
        <v>76746</v>
      </c>
      <c r="L980" s="3">
        <v>46046</v>
      </c>
      <c r="M980" s="3">
        <v>30700</v>
      </c>
      <c r="N980" s="4">
        <v>10</v>
      </c>
    </row>
    <row r="981" spans="1:14" x14ac:dyDescent="0.25">
      <c r="A981" s="2">
        <v>5</v>
      </c>
      <c r="B981" s="1" t="s">
        <v>65</v>
      </c>
      <c r="C981" s="1" t="s">
        <v>66</v>
      </c>
      <c r="D981" s="1" t="s">
        <v>67</v>
      </c>
      <c r="E981" s="11" t="s">
        <v>15</v>
      </c>
      <c r="F981" s="12">
        <v>45658</v>
      </c>
      <c r="G981" s="1" t="s">
        <v>37</v>
      </c>
      <c r="H981" s="1" t="s">
        <v>41</v>
      </c>
      <c r="I981" s="2">
        <v>18</v>
      </c>
      <c r="J981" s="3">
        <v>107893</v>
      </c>
      <c r="K981" s="3">
        <v>1942074</v>
      </c>
      <c r="L981" s="3">
        <v>1275092</v>
      </c>
      <c r="M981" s="3">
        <v>666982</v>
      </c>
      <c r="N981" s="4">
        <v>11</v>
      </c>
    </row>
    <row r="982" spans="1:14" x14ac:dyDescent="0.25">
      <c r="A982" s="2">
        <v>5</v>
      </c>
      <c r="B982" s="1" t="s">
        <v>65</v>
      </c>
      <c r="C982" s="1" t="s">
        <v>66</v>
      </c>
      <c r="D982" s="1" t="s">
        <v>67</v>
      </c>
      <c r="E982" s="11" t="s">
        <v>42</v>
      </c>
      <c r="F982" s="12">
        <v>45689</v>
      </c>
      <c r="G982" s="1" t="s">
        <v>16</v>
      </c>
      <c r="H982" s="1" t="s">
        <v>17</v>
      </c>
      <c r="I982" s="2">
        <v>9</v>
      </c>
      <c r="J982" s="3">
        <v>104388</v>
      </c>
      <c r="K982" s="3">
        <v>939492</v>
      </c>
      <c r="L982" s="3">
        <v>378344</v>
      </c>
      <c r="M982" s="3">
        <v>561148</v>
      </c>
      <c r="N982" s="4">
        <v>4</v>
      </c>
    </row>
    <row r="983" spans="1:14" x14ac:dyDescent="0.25">
      <c r="A983" s="2">
        <v>5</v>
      </c>
      <c r="B983" s="1" t="s">
        <v>65</v>
      </c>
      <c r="C983" s="1" t="s">
        <v>66</v>
      </c>
      <c r="D983" s="1" t="s">
        <v>68</v>
      </c>
      <c r="E983" s="11" t="s">
        <v>42</v>
      </c>
      <c r="F983" s="12">
        <v>45689</v>
      </c>
      <c r="G983" s="1" t="s">
        <v>16</v>
      </c>
      <c r="H983" s="1" t="s">
        <v>19</v>
      </c>
      <c r="I983" s="2">
        <v>10</v>
      </c>
      <c r="J983" s="3">
        <v>39710</v>
      </c>
      <c r="K983" s="3">
        <v>397100</v>
      </c>
      <c r="L983" s="3">
        <v>234411</v>
      </c>
      <c r="M983" s="3">
        <v>162689</v>
      </c>
      <c r="N983" s="4">
        <v>7</v>
      </c>
    </row>
    <row r="984" spans="1:14" x14ac:dyDescent="0.25">
      <c r="A984" s="2">
        <v>5</v>
      </c>
      <c r="B984" s="1" t="s">
        <v>65</v>
      </c>
      <c r="C984" s="1" t="s">
        <v>66</v>
      </c>
      <c r="D984" s="1" t="s">
        <v>68</v>
      </c>
      <c r="E984" s="11" t="s">
        <v>42</v>
      </c>
      <c r="F984" s="12">
        <v>45689</v>
      </c>
      <c r="G984" s="1" t="s">
        <v>16</v>
      </c>
      <c r="H984" s="1" t="s">
        <v>20</v>
      </c>
      <c r="I984" s="2">
        <v>10</v>
      </c>
      <c r="J984" s="3">
        <v>83227</v>
      </c>
      <c r="K984" s="3">
        <v>832270</v>
      </c>
      <c r="L984" s="3">
        <v>377323</v>
      </c>
      <c r="M984" s="3">
        <v>454947</v>
      </c>
      <c r="N984" s="4">
        <v>6</v>
      </c>
    </row>
    <row r="985" spans="1:14" x14ac:dyDescent="0.25">
      <c r="A985" s="2">
        <v>5</v>
      </c>
      <c r="B985" s="1" t="s">
        <v>65</v>
      </c>
      <c r="C985" s="1" t="s">
        <v>66</v>
      </c>
      <c r="D985" s="1" t="s">
        <v>68</v>
      </c>
      <c r="E985" s="11" t="s">
        <v>42</v>
      </c>
      <c r="F985" s="12">
        <v>45689</v>
      </c>
      <c r="G985" s="1" t="s">
        <v>16</v>
      </c>
      <c r="H985" s="1" t="s">
        <v>21</v>
      </c>
      <c r="I985" s="2">
        <v>8</v>
      </c>
      <c r="J985" s="3">
        <v>94671</v>
      </c>
      <c r="K985" s="3">
        <v>757368</v>
      </c>
      <c r="L985" s="3">
        <v>324622</v>
      </c>
      <c r="M985" s="3">
        <v>432746</v>
      </c>
      <c r="N985" s="4">
        <v>4</v>
      </c>
    </row>
    <row r="986" spans="1:14" x14ac:dyDescent="0.25">
      <c r="A986" s="2">
        <v>5</v>
      </c>
      <c r="B986" s="1" t="s">
        <v>65</v>
      </c>
      <c r="C986" s="1" t="s">
        <v>66</v>
      </c>
      <c r="D986" s="1" t="s">
        <v>67</v>
      </c>
      <c r="E986" s="11" t="s">
        <v>42</v>
      </c>
      <c r="F986" s="12">
        <v>45689</v>
      </c>
      <c r="G986" s="1" t="s">
        <v>22</v>
      </c>
      <c r="H986" s="1" t="s">
        <v>23</v>
      </c>
      <c r="I986" s="2">
        <v>3</v>
      </c>
      <c r="J986" s="3">
        <v>105867</v>
      </c>
      <c r="K986" s="3">
        <v>317601</v>
      </c>
      <c r="L986" s="3">
        <v>190157</v>
      </c>
      <c r="M986" s="3">
        <v>127444</v>
      </c>
      <c r="N986" s="4">
        <v>9</v>
      </c>
    </row>
    <row r="987" spans="1:14" x14ac:dyDescent="0.25">
      <c r="A987" s="2">
        <v>5</v>
      </c>
      <c r="B987" s="1" t="s">
        <v>65</v>
      </c>
      <c r="C987" s="1" t="s">
        <v>66</v>
      </c>
      <c r="D987" s="1" t="s">
        <v>68</v>
      </c>
      <c r="E987" s="11" t="s">
        <v>42</v>
      </c>
      <c r="F987" s="12">
        <v>45689</v>
      </c>
      <c r="G987" s="1" t="s">
        <v>22</v>
      </c>
      <c r="H987" s="1" t="s">
        <v>24</v>
      </c>
      <c r="I987" s="2">
        <v>4</v>
      </c>
      <c r="J987" s="3">
        <v>43816</v>
      </c>
      <c r="K987" s="3">
        <v>175264</v>
      </c>
      <c r="L987" s="3">
        <v>78192</v>
      </c>
      <c r="M987" s="3">
        <v>97072</v>
      </c>
      <c r="N987" s="4">
        <v>6</v>
      </c>
    </row>
    <row r="988" spans="1:14" x14ac:dyDescent="0.25">
      <c r="A988" s="2">
        <v>5</v>
      </c>
      <c r="B988" s="1" t="s">
        <v>65</v>
      </c>
      <c r="C988" s="1" t="s">
        <v>66</v>
      </c>
      <c r="D988" s="1" t="s">
        <v>67</v>
      </c>
      <c r="E988" s="11" t="s">
        <v>42</v>
      </c>
      <c r="F988" s="12">
        <v>45689</v>
      </c>
      <c r="G988" s="1" t="s">
        <v>22</v>
      </c>
      <c r="H988" s="1" t="s">
        <v>25</v>
      </c>
      <c r="I988" s="2">
        <v>2</v>
      </c>
      <c r="J988" s="3">
        <v>148498</v>
      </c>
      <c r="K988" s="3">
        <v>296996</v>
      </c>
      <c r="L988" s="3">
        <v>162873</v>
      </c>
      <c r="M988" s="3">
        <v>134123</v>
      </c>
      <c r="N988" s="4">
        <v>8</v>
      </c>
    </row>
    <row r="989" spans="1:14" x14ac:dyDescent="0.25">
      <c r="A989" s="2">
        <v>5</v>
      </c>
      <c r="B989" s="1" t="s">
        <v>65</v>
      </c>
      <c r="C989" s="1" t="s">
        <v>66</v>
      </c>
      <c r="D989" s="1" t="s">
        <v>68</v>
      </c>
      <c r="E989" s="11" t="s">
        <v>42</v>
      </c>
      <c r="F989" s="12">
        <v>45689</v>
      </c>
      <c r="G989" s="1" t="s">
        <v>22</v>
      </c>
      <c r="H989" s="1" t="s">
        <v>26</v>
      </c>
      <c r="I989" s="2">
        <v>7</v>
      </c>
      <c r="J989" s="3">
        <v>105744</v>
      </c>
      <c r="K989" s="3">
        <v>740208</v>
      </c>
      <c r="L989" s="3">
        <v>437191</v>
      </c>
      <c r="M989" s="3">
        <v>303017</v>
      </c>
      <c r="N989" s="4">
        <v>3</v>
      </c>
    </row>
    <row r="990" spans="1:14" x14ac:dyDescent="0.25">
      <c r="A990" s="2">
        <v>5</v>
      </c>
      <c r="B990" s="1" t="s">
        <v>65</v>
      </c>
      <c r="C990" s="1" t="s">
        <v>66</v>
      </c>
      <c r="D990" s="1" t="s">
        <v>67</v>
      </c>
      <c r="E990" s="11" t="s">
        <v>42</v>
      </c>
      <c r="F990" s="12">
        <v>45689</v>
      </c>
      <c r="G990" s="1" t="s">
        <v>27</v>
      </c>
      <c r="H990" s="1" t="s">
        <v>28</v>
      </c>
      <c r="I990" s="2">
        <v>3</v>
      </c>
      <c r="J990" s="3">
        <v>126082</v>
      </c>
      <c r="K990" s="3">
        <v>378246</v>
      </c>
      <c r="L990" s="3">
        <v>259203</v>
      </c>
      <c r="M990" s="3">
        <v>119043</v>
      </c>
      <c r="N990" s="4">
        <v>10</v>
      </c>
    </row>
    <row r="991" spans="1:14" x14ac:dyDescent="0.25">
      <c r="A991" s="2">
        <v>5</v>
      </c>
      <c r="B991" s="1" t="s">
        <v>65</v>
      </c>
      <c r="C991" s="1" t="s">
        <v>66</v>
      </c>
      <c r="D991" s="1" t="s">
        <v>67</v>
      </c>
      <c r="E991" s="11" t="s">
        <v>42</v>
      </c>
      <c r="F991" s="12">
        <v>45689</v>
      </c>
      <c r="G991" s="1" t="s">
        <v>27</v>
      </c>
      <c r="H991" s="1" t="s">
        <v>29</v>
      </c>
      <c r="I991" s="2">
        <v>14</v>
      </c>
      <c r="J991" s="3">
        <v>73521</v>
      </c>
      <c r="K991" s="3">
        <v>1029294</v>
      </c>
      <c r="L991" s="3">
        <v>718172</v>
      </c>
      <c r="M991" s="3">
        <v>311122</v>
      </c>
      <c r="N991" s="4">
        <v>12</v>
      </c>
    </row>
    <row r="992" spans="1:14" x14ac:dyDescent="0.25">
      <c r="A992" s="2">
        <v>5</v>
      </c>
      <c r="B992" s="1" t="s">
        <v>65</v>
      </c>
      <c r="C992" s="1" t="s">
        <v>66</v>
      </c>
      <c r="D992" s="1" t="s">
        <v>68</v>
      </c>
      <c r="E992" s="11" t="s">
        <v>42</v>
      </c>
      <c r="F992" s="12">
        <v>45689</v>
      </c>
      <c r="G992" s="1" t="s">
        <v>27</v>
      </c>
      <c r="H992" s="1" t="s">
        <v>30</v>
      </c>
      <c r="I992" s="2">
        <v>18</v>
      </c>
      <c r="J992" s="3">
        <v>83811</v>
      </c>
      <c r="K992" s="3">
        <v>1508598</v>
      </c>
      <c r="L992" s="3">
        <v>986896</v>
      </c>
      <c r="M992" s="3">
        <v>521702</v>
      </c>
      <c r="N992" s="4">
        <v>0</v>
      </c>
    </row>
    <row r="993" spans="1:14" x14ac:dyDescent="0.25">
      <c r="A993" s="2">
        <v>5</v>
      </c>
      <c r="B993" s="1" t="s">
        <v>65</v>
      </c>
      <c r="C993" s="1" t="s">
        <v>66</v>
      </c>
      <c r="D993" s="1" t="s">
        <v>68</v>
      </c>
      <c r="E993" s="11" t="s">
        <v>42</v>
      </c>
      <c r="F993" s="12">
        <v>45689</v>
      </c>
      <c r="G993" s="1" t="s">
        <v>27</v>
      </c>
      <c r="H993" s="1" t="s">
        <v>31</v>
      </c>
      <c r="I993" s="2">
        <v>13</v>
      </c>
      <c r="J993" s="3">
        <v>50099</v>
      </c>
      <c r="K993" s="3">
        <v>651287</v>
      </c>
      <c r="L993" s="3">
        <v>280405</v>
      </c>
      <c r="M993" s="3">
        <v>370882</v>
      </c>
      <c r="N993" s="4">
        <v>9</v>
      </c>
    </row>
    <row r="994" spans="1:14" x14ac:dyDescent="0.25">
      <c r="A994" s="2">
        <v>5</v>
      </c>
      <c r="B994" s="1" t="s">
        <v>65</v>
      </c>
      <c r="C994" s="1" t="s">
        <v>66</v>
      </c>
      <c r="D994" s="1" t="s">
        <v>68</v>
      </c>
      <c r="E994" s="11" t="s">
        <v>42</v>
      </c>
      <c r="F994" s="12">
        <v>45689</v>
      </c>
      <c r="G994" s="1" t="s">
        <v>32</v>
      </c>
      <c r="H994" s="1" t="s">
        <v>33</v>
      </c>
      <c r="I994" s="2">
        <v>11</v>
      </c>
      <c r="J994" s="3">
        <v>14256</v>
      </c>
      <c r="K994" s="3">
        <v>156816</v>
      </c>
      <c r="L994" s="3">
        <v>64557</v>
      </c>
      <c r="M994" s="3">
        <v>92259</v>
      </c>
      <c r="N994" s="4">
        <v>9</v>
      </c>
    </row>
    <row r="995" spans="1:14" x14ac:dyDescent="0.25">
      <c r="A995" s="2">
        <v>5</v>
      </c>
      <c r="B995" s="1" t="s">
        <v>65</v>
      </c>
      <c r="C995" s="1" t="s">
        <v>66</v>
      </c>
      <c r="D995" s="1" t="s">
        <v>67</v>
      </c>
      <c r="E995" s="11" t="s">
        <v>42</v>
      </c>
      <c r="F995" s="12">
        <v>45689</v>
      </c>
      <c r="G995" s="1" t="s">
        <v>32</v>
      </c>
      <c r="H995" s="1" t="s">
        <v>34</v>
      </c>
      <c r="I995" s="2">
        <v>1</v>
      </c>
      <c r="J995" s="3">
        <v>10520</v>
      </c>
      <c r="K995" s="3">
        <v>10520</v>
      </c>
      <c r="L995" s="3">
        <v>4675</v>
      </c>
      <c r="M995" s="3">
        <v>5845</v>
      </c>
      <c r="N995" s="4">
        <v>7</v>
      </c>
    </row>
    <row r="996" spans="1:14" x14ac:dyDescent="0.25">
      <c r="A996" s="2">
        <v>5</v>
      </c>
      <c r="B996" s="1" t="s">
        <v>65</v>
      </c>
      <c r="C996" s="1" t="s">
        <v>66</v>
      </c>
      <c r="D996" s="1" t="s">
        <v>67</v>
      </c>
      <c r="E996" s="11" t="s">
        <v>42</v>
      </c>
      <c r="F996" s="12">
        <v>45689</v>
      </c>
      <c r="G996" s="1" t="s">
        <v>32</v>
      </c>
      <c r="H996" s="1" t="s">
        <v>35</v>
      </c>
      <c r="I996" s="2">
        <v>13</v>
      </c>
      <c r="J996" s="3">
        <v>15152</v>
      </c>
      <c r="K996" s="3">
        <v>196976</v>
      </c>
      <c r="L996" s="3">
        <v>134955</v>
      </c>
      <c r="M996" s="3">
        <v>62021</v>
      </c>
      <c r="N996" s="4">
        <v>4</v>
      </c>
    </row>
    <row r="997" spans="1:14" x14ac:dyDescent="0.25">
      <c r="A997" s="2">
        <v>5</v>
      </c>
      <c r="B997" s="1" t="s">
        <v>65</v>
      </c>
      <c r="C997" s="1" t="s">
        <v>66</v>
      </c>
      <c r="D997" s="1" t="s">
        <v>68</v>
      </c>
      <c r="E997" s="11" t="s">
        <v>42</v>
      </c>
      <c r="F997" s="12">
        <v>45689</v>
      </c>
      <c r="G997" s="1" t="s">
        <v>32</v>
      </c>
      <c r="H997" s="1" t="s">
        <v>36</v>
      </c>
      <c r="I997" s="2">
        <v>11</v>
      </c>
      <c r="J997" s="3">
        <v>7871</v>
      </c>
      <c r="K997" s="3">
        <v>86581</v>
      </c>
      <c r="L997" s="3">
        <v>49699</v>
      </c>
      <c r="M997" s="3">
        <v>36882</v>
      </c>
      <c r="N997" s="4">
        <v>2</v>
      </c>
    </row>
    <row r="998" spans="1:14" x14ac:dyDescent="0.25">
      <c r="A998" s="2">
        <v>5</v>
      </c>
      <c r="B998" s="1" t="s">
        <v>65</v>
      </c>
      <c r="C998" s="1" t="s">
        <v>66</v>
      </c>
      <c r="D998" s="1" t="s">
        <v>67</v>
      </c>
      <c r="E998" s="11" t="s">
        <v>42</v>
      </c>
      <c r="F998" s="12">
        <v>45689</v>
      </c>
      <c r="G998" s="1" t="s">
        <v>37</v>
      </c>
      <c r="H998" s="1" t="s">
        <v>38</v>
      </c>
      <c r="I998" s="2">
        <v>12</v>
      </c>
      <c r="J998" s="3">
        <v>96057</v>
      </c>
      <c r="K998" s="3">
        <v>1152684</v>
      </c>
      <c r="L998" s="3">
        <v>751432</v>
      </c>
      <c r="M998" s="3">
        <v>401252</v>
      </c>
      <c r="N998" s="4">
        <v>12</v>
      </c>
    </row>
    <row r="999" spans="1:14" x14ac:dyDescent="0.25">
      <c r="A999" s="2">
        <v>5</v>
      </c>
      <c r="B999" s="1" t="s">
        <v>65</v>
      </c>
      <c r="C999" s="1" t="s">
        <v>66</v>
      </c>
      <c r="D999" s="1" t="s">
        <v>68</v>
      </c>
      <c r="E999" s="11" t="s">
        <v>42</v>
      </c>
      <c r="F999" s="12">
        <v>45689</v>
      </c>
      <c r="G999" s="1" t="s">
        <v>37</v>
      </c>
      <c r="H999" s="1" t="s">
        <v>39</v>
      </c>
      <c r="I999" s="2">
        <v>7</v>
      </c>
      <c r="J999" s="3">
        <v>109390</v>
      </c>
      <c r="K999" s="3">
        <v>765730</v>
      </c>
      <c r="L999" s="3">
        <v>513902</v>
      </c>
      <c r="M999" s="3">
        <v>251828</v>
      </c>
      <c r="N999" s="4">
        <v>9</v>
      </c>
    </row>
    <row r="1000" spans="1:14" x14ac:dyDescent="0.25">
      <c r="A1000" s="2">
        <v>5</v>
      </c>
      <c r="B1000" s="1" t="s">
        <v>65</v>
      </c>
      <c r="C1000" s="1" t="s">
        <v>66</v>
      </c>
      <c r="D1000" s="1" t="s">
        <v>67</v>
      </c>
      <c r="E1000" s="11" t="s">
        <v>42</v>
      </c>
      <c r="F1000" s="12">
        <v>45689</v>
      </c>
      <c r="G1000" s="1" t="s">
        <v>37</v>
      </c>
      <c r="H1000" s="1" t="s">
        <v>40</v>
      </c>
      <c r="I1000" s="2">
        <v>8</v>
      </c>
      <c r="J1000" s="3">
        <v>27812</v>
      </c>
      <c r="K1000" s="3">
        <v>222496</v>
      </c>
      <c r="L1000" s="3">
        <v>116996</v>
      </c>
      <c r="M1000" s="3">
        <v>105500</v>
      </c>
      <c r="N1000" s="4">
        <v>3</v>
      </c>
    </row>
    <row r="1001" spans="1:14" x14ac:dyDescent="0.25">
      <c r="A1001" s="2">
        <v>5</v>
      </c>
      <c r="B1001" s="1" t="s">
        <v>65</v>
      </c>
      <c r="C1001" s="1" t="s">
        <v>66</v>
      </c>
      <c r="D1001" s="1" t="s">
        <v>67</v>
      </c>
      <c r="E1001" s="11" t="s">
        <v>42</v>
      </c>
      <c r="F1001" s="12">
        <v>45689</v>
      </c>
      <c r="G1001" s="1" t="s">
        <v>37</v>
      </c>
      <c r="H1001" s="1" t="s">
        <v>41</v>
      </c>
      <c r="I1001" s="2">
        <v>10</v>
      </c>
      <c r="J1001" s="3">
        <v>28275</v>
      </c>
      <c r="K1001" s="3">
        <v>282750</v>
      </c>
      <c r="L1001" s="3">
        <v>155303</v>
      </c>
      <c r="M1001" s="3">
        <v>127447</v>
      </c>
      <c r="N1001" s="4">
        <v>3</v>
      </c>
    </row>
    <row r="1002" spans="1:14" x14ac:dyDescent="0.25">
      <c r="A1002" s="2">
        <v>5</v>
      </c>
      <c r="B1002" s="1" t="s">
        <v>65</v>
      </c>
      <c r="C1002" s="1" t="s">
        <v>66</v>
      </c>
      <c r="D1002" s="1" t="s">
        <v>67</v>
      </c>
      <c r="E1002" s="11" t="s">
        <v>43</v>
      </c>
      <c r="F1002" s="12">
        <v>45717</v>
      </c>
      <c r="G1002" s="1" t="s">
        <v>16</v>
      </c>
      <c r="H1002" s="1" t="s">
        <v>17</v>
      </c>
      <c r="I1002" s="2">
        <v>13</v>
      </c>
      <c r="J1002" s="3">
        <v>40700</v>
      </c>
      <c r="K1002" s="3">
        <v>529100</v>
      </c>
      <c r="L1002" s="3">
        <v>252165</v>
      </c>
      <c r="M1002" s="3">
        <v>276935</v>
      </c>
      <c r="N1002" s="4">
        <v>2</v>
      </c>
    </row>
    <row r="1003" spans="1:14" x14ac:dyDescent="0.25">
      <c r="A1003" s="2">
        <v>5</v>
      </c>
      <c r="B1003" s="1" t="s">
        <v>65</v>
      </c>
      <c r="C1003" s="1" t="s">
        <v>66</v>
      </c>
      <c r="D1003" s="1" t="s">
        <v>68</v>
      </c>
      <c r="E1003" s="11" t="s">
        <v>43</v>
      </c>
      <c r="F1003" s="12">
        <v>45717</v>
      </c>
      <c r="G1003" s="1" t="s">
        <v>16</v>
      </c>
      <c r="H1003" s="1" t="s">
        <v>19</v>
      </c>
      <c r="I1003" s="2">
        <v>16</v>
      </c>
      <c r="J1003" s="3">
        <v>102534</v>
      </c>
      <c r="K1003" s="3">
        <v>1640544</v>
      </c>
      <c r="L1003" s="3">
        <v>672365</v>
      </c>
      <c r="M1003" s="3">
        <v>968179</v>
      </c>
      <c r="N1003" s="4">
        <v>13</v>
      </c>
    </row>
    <row r="1004" spans="1:14" x14ac:dyDescent="0.25">
      <c r="A1004" s="2">
        <v>5</v>
      </c>
      <c r="B1004" s="1" t="s">
        <v>65</v>
      </c>
      <c r="C1004" s="1" t="s">
        <v>66</v>
      </c>
      <c r="D1004" s="1" t="s">
        <v>68</v>
      </c>
      <c r="E1004" s="11" t="s">
        <v>43</v>
      </c>
      <c r="F1004" s="12">
        <v>45717</v>
      </c>
      <c r="G1004" s="1" t="s">
        <v>16</v>
      </c>
      <c r="H1004" s="1" t="s">
        <v>20</v>
      </c>
      <c r="I1004" s="2">
        <v>4</v>
      </c>
      <c r="J1004" s="3">
        <v>83353</v>
      </c>
      <c r="K1004" s="3">
        <v>333412</v>
      </c>
      <c r="L1004" s="3">
        <v>227465</v>
      </c>
      <c r="M1004" s="3">
        <v>105947</v>
      </c>
      <c r="N1004" s="4">
        <v>4</v>
      </c>
    </row>
    <row r="1005" spans="1:14" x14ac:dyDescent="0.25">
      <c r="A1005" s="2">
        <v>5</v>
      </c>
      <c r="B1005" s="1" t="s">
        <v>65</v>
      </c>
      <c r="C1005" s="1" t="s">
        <v>66</v>
      </c>
      <c r="D1005" s="1" t="s">
        <v>67</v>
      </c>
      <c r="E1005" s="11" t="s">
        <v>43</v>
      </c>
      <c r="F1005" s="12">
        <v>45717</v>
      </c>
      <c r="G1005" s="1" t="s">
        <v>16</v>
      </c>
      <c r="H1005" s="1" t="s">
        <v>21</v>
      </c>
      <c r="I1005" s="2">
        <v>1</v>
      </c>
      <c r="J1005" s="3">
        <v>100578</v>
      </c>
      <c r="K1005" s="3">
        <v>100578</v>
      </c>
      <c r="L1005" s="3">
        <v>43099</v>
      </c>
      <c r="M1005" s="3">
        <v>57479</v>
      </c>
      <c r="N1005" s="4">
        <v>10</v>
      </c>
    </row>
    <row r="1006" spans="1:14" x14ac:dyDescent="0.25">
      <c r="A1006" s="2">
        <v>5</v>
      </c>
      <c r="B1006" s="1" t="s">
        <v>65</v>
      </c>
      <c r="C1006" s="1" t="s">
        <v>66</v>
      </c>
      <c r="D1006" s="1" t="s">
        <v>67</v>
      </c>
      <c r="E1006" s="11" t="s">
        <v>43</v>
      </c>
      <c r="F1006" s="12">
        <v>45717</v>
      </c>
      <c r="G1006" s="1" t="s">
        <v>22</v>
      </c>
      <c r="H1006" s="1" t="s">
        <v>23</v>
      </c>
      <c r="I1006" s="2">
        <v>8</v>
      </c>
      <c r="J1006" s="3">
        <v>34270</v>
      </c>
      <c r="K1006" s="3">
        <v>274160</v>
      </c>
      <c r="L1006" s="3">
        <v>136986</v>
      </c>
      <c r="M1006" s="3">
        <v>137174</v>
      </c>
      <c r="N1006" s="4">
        <v>1</v>
      </c>
    </row>
    <row r="1007" spans="1:14" x14ac:dyDescent="0.25">
      <c r="A1007" s="2">
        <v>5</v>
      </c>
      <c r="B1007" s="1" t="s">
        <v>65</v>
      </c>
      <c r="C1007" s="1" t="s">
        <v>66</v>
      </c>
      <c r="D1007" s="1" t="s">
        <v>68</v>
      </c>
      <c r="E1007" s="11" t="s">
        <v>43</v>
      </c>
      <c r="F1007" s="12">
        <v>45717</v>
      </c>
      <c r="G1007" s="1" t="s">
        <v>22</v>
      </c>
      <c r="H1007" s="1" t="s">
        <v>24</v>
      </c>
      <c r="I1007" s="2">
        <v>10</v>
      </c>
      <c r="J1007" s="3">
        <v>104995</v>
      </c>
      <c r="K1007" s="3">
        <v>1049950</v>
      </c>
      <c r="L1007" s="3">
        <v>467730</v>
      </c>
      <c r="M1007" s="3">
        <v>582220</v>
      </c>
      <c r="N1007" s="4">
        <v>8</v>
      </c>
    </row>
    <row r="1008" spans="1:14" x14ac:dyDescent="0.25">
      <c r="A1008" s="2">
        <v>5</v>
      </c>
      <c r="B1008" s="1" t="s">
        <v>65</v>
      </c>
      <c r="C1008" s="1" t="s">
        <v>66</v>
      </c>
      <c r="D1008" s="1" t="s">
        <v>68</v>
      </c>
      <c r="E1008" s="11" t="s">
        <v>43</v>
      </c>
      <c r="F1008" s="12">
        <v>45717</v>
      </c>
      <c r="G1008" s="1" t="s">
        <v>22</v>
      </c>
      <c r="H1008" s="1" t="s">
        <v>25</v>
      </c>
      <c r="I1008" s="2">
        <v>17</v>
      </c>
      <c r="J1008" s="3">
        <v>26614</v>
      </c>
      <c r="K1008" s="3">
        <v>452438</v>
      </c>
      <c r="L1008" s="3">
        <v>187137</v>
      </c>
      <c r="M1008" s="3">
        <v>265301</v>
      </c>
      <c r="N1008" s="4">
        <v>3</v>
      </c>
    </row>
    <row r="1009" spans="1:14" x14ac:dyDescent="0.25">
      <c r="A1009" s="2">
        <v>5</v>
      </c>
      <c r="B1009" s="1" t="s">
        <v>65</v>
      </c>
      <c r="C1009" s="1" t="s">
        <v>66</v>
      </c>
      <c r="D1009" s="1" t="s">
        <v>68</v>
      </c>
      <c r="E1009" s="11" t="s">
        <v>43</v>
      </c>
      <c r="F1009" s="12">
        <v>45717</v>
      </c>
      <c r="G1009" s="1" t="s">
        <v>22</v>
      </c>
      <c r="H1009" s="1" t="s">
        <v>26</v>
      </c>
      <c r="I1009" s="2">
        <v>13</v>
      </c>
      <c r="J1009" s="3">
        <v>36964</v>
      </c>
      <c r="K1009" s="3">
        <v>480532</v>
      </c>
      <c r="L1009" s="3">
        <v>248697</v>
      </c>
      <c r="M1009" s="3">
        <v>231835</v>
      </c>
      <c r="N1009" s="4">
        <v>4</v>
      </c>
    </row>
    <row r="1010" spans="1:14" x14ac:dyDescent="0.25">
      <c r="A1010" s="2">
        <v>5</v>
      </c>
      <c r="B1010" s="1" t="s">
        <v>65</v>
      </c>
      <c r="C1010" s="1" t="s">
        <v>66</v>
      </c>
      <c r="D1010" s="1" t="s">
        <v>68</v>
      </c>
      <c r="E1010" s="11" t="s">
        <v>43</v>
      </c>
      <c r="F1010" s="12">
        <v>45717</v>
      </c>
      <c r="G1010" s="1" t="s">
        <v>27</v>
      </c>
      <c r="H1010" s="1" t="s">
        <v>28</v>
      </c>
      <c r="I1010" s="2">
        <v>9</v>
      </c>
      <c r="J1010" s="3">
        <v>69976</v>
      </c>
      <c r="K1010" s="3">
        <v>629784</v>
      </c>
      <c r="L1010" s="3">
        <v>363466</v>
      </c>
      <c r="M1010" s="3">
        <v>266318</v>
      </c>
      <c r="N1010" s="4">
        <v>11</v>
      </c>
    </row>
    <row r="1011" spans="1:14" x14ac:dyDescent="0.25">
      <c r="A1011" s="2">
        <v>5</v>
      </c>
      <c r="B1011" s="1" t="s">
        <v>65</v>
      </c>
      <c r="C1011" s="1" t="s">
        <v>66</v>
      </c>
      <c r="D1011" s="1" t="s">
        <v>68</v>
      </c>
      <c r="E1011" s="11" t="s">
        <v>43</v>
      </c>
      <c r="F1011" s="12">
        <v>45717</v>
      </c>
      <c r="G1011" s="1" t="s">
        <v>27</v>
      </c>
      <c r="H1011" s="1" t="s">
        <v>29</v>
      </c>
      <c r="I1011" s="2">
        <v>6</v>
      </c>
      <c r="J1011" s="3">
        <v>54148</v>
      </c>
      <c r="K1011" s="3">
        <v>324888</v>
      </c>
      <c r="L1011" s="3">
        <v>200435</v>
      </c>
      <c r="M1011" s="3">
        <v>124453</v>
      </c>
      <c r="N1011" s="4">
        <v>7</v>
      </c>
    </row>
    <row r="1012" spans="1:14" x14ac:dyDescent="0.25">
      <c r="A1012" s="2">
        <v>5</v>
      </c>
      <c r="B1012" s="1" t="s">
        <v>65</v>
      </c>
      <c r="C1012" s="1" t="s">
        <v>66</v>
      </c>
      <c r="D1012" s="1" t="s">
        <v>68</v>
      </c>
      <c r="E1012" s="11" t="s">
        <v>43</v>
      </c>
      <c r="F1012" s="12">
        <v>45717</v>
      </c>
      <c r="G1012" s="1" t="s">
        <v>27</v>
      </c>
      <c r="H1012" s="1" t="s">
        <v>30</v>
      </c>
      <c r="I1012" s="2">
        <v>7</v>
      </c>
      <c r="J1012" s="3">
        <v>132230</v>
      </c>
      <c r="K1012" s="3">
        <v>925610</v>
      </c>
      <c r="L1012" s="3">
        <v>454714</v>
      </c>
      <c r="M1012" s="3">
        <v>470896</v>
      </c>
      <c r="N1012" s="4">
        <v>12</v>
      </c>
    </row>
    <row r="1013" spans="1:14" x14ac:dyDescent="0.25">
      <c r="A1013" s="2">
        <v>5</v>
      </c>
      <c r="B1013" s="1" t="s">
        <v>65</v>
      </c>
      <c r="C1013" s="1" t="s">
        <v>66</v>
      </c>
      <c r="D1013" s="1" t="s">
        <v>68</v>
      </c>
      <c r="E1013" s="11" t="s">
        <v>43</v>
      </c>
      <c r="F1013" s="12">
        <v>45717</v>
      </c>
      <c r="G1013" s="1" t="s">
        <v>27</v>
      </c>
      <c r="H1013" s="1" t="s">
        <v>31</v>
      </c>
      <c r="I1013" s="2">
        <v>3</v>
      </c>
      <c r="J1013" s="3">
        <v>77727</v>
      </c>
      <c r="K1013" s="3">
        <v>233181</v>
      </c>
      <c r="L1013" s="3">
        <v>93375</v>
      </c>
      <c r="M1013" s="3">
        <v>139806</v>
      </c>
      <c r="N1013" s="4">
        <v>14</v>
      </c>
    </row>
    <row r="1014" spans="1:14" x14ac:dyDescent="0.25">
      <c r="A1014" s="2">
        <v>5</v>
      </c>
      <c r="B1014" s="1" t="s">
        <v>65</v>
      </c>
      <c r="C1014" s="1" t="s">
        <v>66</v>
      </c>
      <c r="D1014" s="1" t="s">
        <v>67</v>
      </c>
      <c r="E1014" s="11" t="s">
        <v>43</v>
      </c>
      <c r="F1014" s="12">
        <v>45717</v>
      </c>
      <c r="G1014" s="1" t="s">
        <v>32</v>
      </c>
      <c r="H1014" s="1" t="s">
        <v>33</v>
      </c>
      <c r="I1014" s="2">
        <v>4</v>
      </c>
      <c r="J1014" s="3">
        <v>17251</v>
      </c>
      <c r="K1014" s="3">
        <v>69004</v>
      </c>
      <c r="L1014" s="3">
        <v>34020</v>
      </c>
      <c r="M1014" s="3">
        <v>34984</v>
      </c>
      <c r="N1014" s="4">
        <v>2</v>
      </c>
    </row>
    <row r="1015" spans="1:14" x14ac:dyDescent="0.25">
      <c r="A1015" s="2">
        <v>5</v>
      </c>
      <c r="B1015" s="1" t="s">
        <v>65</v>
      </c>
      <c r="C1015" s="1" t="s">
        <v>66</v>
      </c>
      <c r="D1015" s="1" t="s">
        <v>67</v>
      </c>
      <c r="E1015" s="11" t="s">
        <v>43</v>
      </c>
      <c r="F1015" s="12">
        <v>45717</v>
      </c>
      <c r="G1015" s="1" t="s">
        <v>32</v>
      </c>
      <c r="H1015" s="1" t="s">
        <v>34</v>
      </c>
      <c r="I1015" s="2">
        <v>4</v>
      </c>
      <c r="J1015" s="3">
        <v>15990</v>
      </c>
      <c r="K1015" s="3">
        <v>63960</v>
      </c>
      <c r="L1015" s="3">
        <v>33565</v>
      </c>
      <c r="M1015" s="3">
        <v>30395</v>
      </c>
      <c r="N1015" s="4">
        <v>12</v>
      </c>
    </row>
    <row r="1016" spans="1:14" x14ac:dyDescent="0.25">
      <c r="A1016" s="2">
        <v>5</v>
      </c>
      <c r="B1016" s="1" t="s">
        <v>65</v>
      </c>
      <c r="C1016" s="1" t="s">
        <v>66</v>
      </c>
      <c r="D1016" s="1" t="s">
        <v>67</v>
      </c>
      <c r="E1016" s="11" t="s">
        <v>43</v>
      </c>
      <c r="F1016" s="12">
        <v>45717</v>
      </c>
      <c r="G1016" s="1" t="s">
        <v>32</v>
      </c>
      <c r="H1016" s="1" t="s">
        <v>35</v>
      </c>
      <c r="I1016" s="2">
        <v>18</v>
      </c>
      <c r="J1016" s="3">
        <v>16805</v>
      </c>
      <c r="K1016" s="3">
        <v>302490</v>
      </c>
      <c r="L1016" s="3">
        <v>150515</v>
      </c>
      <c r="M1016" s="3">
        <v>151975</v>
      </c>
      <c r="N1016" s="4">
        <v>8</v>
      </c>
    </row>
    <row r="1017" spans="1:14" x14ac:dyDescent="0.25">
      <c r="A1017" s="2">
        <v>5</v>
      </c>
      <c r="B1017" s="1" t="s">
        <v>65</v>
      </c>
      <c r="C1017" s="1" t="s">
        <v>66</v>
      </c>
      <c r="D1017" s="1" t="s">
        <v>67</v>
      </c>
      <c r="E1017" s="11" t="s">
        <v>43</v>
      </c>
      <c r="F1017" s="12">
        <v>45717</v>
      </c>
      <c r="G1017" s="1" t="s">
        <v>32</v>
      </c>
      <c r="H1017" s="1" t="s">
        <v>36</v>
      </c>
      <c r="I1017" s="2">
        <v>16</v>
      </c>
      <c r="J1017" s="3">
        <v>18722</v>
      </c>
      <c r="K1017" s="3">
        <v>299552</v>
      </c>
      <c r="L1017" s="3">
        <v>144213</v>
      </c>
      <c r="M1017" s="3">
        <v>155339</v>
      </c>
      <c r="N1017" s="4">
        <v>8</v>
      </c>
    </row>
    <row r="1018" spans="1:14" x14ac:dyDescent="0.25">
      <c r="A1018" s="2">
        <v>5</v>
      </c>
      <c r="B1018" s="1" t="s">
        <v>65</v>
      </c>
      <c r="C1018" s="1" t="s">
        <v>66</v>
      </c>
      <c r="D1018" s="1" t="s">
        <v>68</v>
      </c>
      <c r="E1018" s="11" t="s">
        <v>43</v>
      </c>
      <c r="F1018" s="12">
        <v>45717</v>
      </c>
      <c r="G1018" s="1" t="s">
        <v>37</v>
      </c>
      <c r="H1018" s="1" t="s">
        <v>38</v>
      </c>
      <c r="I1018" s="2">
        <v>16</v>
      </c>
      <c r="J1018" s="3">
        <v>121754</v>
      </c>
      <c r="K1018" s="3">
        <v>1948064</v>
      </c>
      <c r="L1018" s="3">
        <v>1363378</v>
      </c>
      <c r="M1018" s="3">
        <v>584686</v>
      </c>
      <c r="N1018" s="4">
        <v>3</v>
      </c>
    </row>
    <row r="1019" spans="1:14" x14ac:dyDescent="0.25">
      <c r="A1019" s="2">
        <v>5</v>
      </c>
      <c r="B1019" s="1" t="s">
        <v>65</v>
      </c>
      <c r="C1019" s="1" t="s">
        <v>66</v>
      </c>
      <c r="D1019" s="1" t="s">
        <v>67</v>
      </c>
      <c r="E1019" s="11" t="s">
        <v>43</v>
      </c>
      <c r="F1019" s="12">
        <v>45717</v>
      </c>
      <c r="G1019" s="1" t="s">
        <v>37</v>
      </c>
      <c r="H1019" s="1" t="s">
        <v>39</v>
      </c>
      <c r="I1019" s="2">
        <v>7</v>
      </c>
      <c r="J1019" s="3">
        <v>146479</v>
      </c>
      <c r="K1019" s="3">
        <v>1025353</v>
      </c>
      <c r="L1019" s="3">
        <v>642152</v>
      </c>
      <c r="M1019" s="3">
        <v>383201</v>
      </c>
      <c r="N1019" s="4">
        <v>4</v>
      </c>
    </row>
    <row r="1020" spans="1:14" x14ac:dyDescent="0.25">
      <c r="A1020" s="2">
        <v>5</v>
      </c>
      <c r="B1020" s="1" t="s">
        <v>65</v>
      </c>
      <c r="C1020" s="1" t="s">
        <v>66</v>
      </c>
      <c r="D1020" s="1" t="s">
        <v>67</v>
      </c>
      <c r="E1020" s="11" t="s">
        <v>43</v>
      </c>
      <c r="F1020" s="12">
        <v>45717</v>
      </c>
      <c r="G1020" s="1" t="s">
        <v>37</v>
      </c>
      <c r="H1020" s="1" t="s">
        <v>40</v>
      </c>
      <c r="I1020" s="2">
        <v>8</v>
      </c>
      <c r="J1020" s="3">
        <v>35088</v>
      </c>
      <c r="K1020" s="3">
        <v>280704</v>
      </c>
      <c r="L1020" s="3">
        <v>144339</v>
      </c>
      <c r="M1020" s="3">
        <v>136365</v>
      </c>
      <c r="N1020" s="4">
        <v>6</v>
      </c>
    </row>
    <row r="1021" spans="1:14" x14ac:dyDescent="0.25">
      <c r="A1021" s="2">
        <v>5</v>
      </c>
      <c r="B1021" s="1" t="s">
        <v>65</v>
      </c>
      <c r="C1021" s="1" t="s">
        <v>66</v>
      </c>
      <c r="D1021" s="1" t="s">
        <v>67</v>
      </c>
      <c r="E1021" s="11" t="s">
        <v>43</v>
      </c>
      <c r="F1021" s="12">
        <v>45717</v>
      </c>
      <c r="G1021" s="1" t="s">
        <v>37</v>
      </c>
      <c r="H1021" s="1" t="s">
        <v>41</v>
      </c>
      <c r="I1021" s="2">
        <v>10</v>
      </c>
      <c r="J1021" s="3">
        <v>23273</v>
      </c>
      <c r="K1021" s="3">
        <v>232730</v>
      </c>
      <c r="L1021" s="3">
        <v>94535</v>
      </c>
      <c r="M1021" s="3">
        <v>138195</v>
      </c>
      <c r="N1021" s="4">
        <v>1</v>
      </c>
    </row>
    <row r="1022" spans="1:14" x14ac:dyDescent="0.25">
      <c r="A1022" s="2">
        <v>5</v>
      </c>
      <c r="B1022" s="1" t="s">
        <v>65</v>
      </c>
      <c r="C1022" s="1" t="s">
        <v>66</v>
      </c>
      <c r="D1022" s="1" t="s">
        <v>68</v>
      </c>
      <c r="E1022" s="11" t="s">
        <v>44</v>
      </c>
      <c r="F1022" s="12">
        <v>45748</v>
      </c>
      <c r="G1022" s="1" t="s">
        <v>16</v>
      </c>
      <c r="H1022" s="1" t="s">
        <v>17</v>
      </c>
      <c r="I1022" s="2">
        <v>9</v>
      </c>
      <c r="J1022" s="3">
        <v>94704</v>
      </c>
      <c r="K1022" s="3">
        <v>852336</v>
      </c>
      <c r="L1022" s="3">
        <v>584418</v>
      </c>
      <c r="M1022" s="3">
        <v>267918</v>
      </c>
      <c r="N1022" s="4">
        <v>9</v>
      </c>
    </row>
    <row r="1023" spans="1:14" x14ac:dyDescent="0.25">
      <c r="A1023" s="2">
        <v>5</v>
      </c>
      <c r="B1023" s="1" t="s">
        <v>65</v>
      </c>
      <c r="C1023" s="1" t="s">
        <v>66</v>
      </c>
      <c r="D1023" s="1" t="s">
        <v>68</v>
      </c>
      <c r="E1023" s="11" t="s">
        <v>44</v>
      </c>
      <c r="F1023" s="12">
        <v>45748</v>
      </c>
      <c r="G1023" s="1" t="s">
        <v>16</v>
      </c>
      <c r="H1023" s="1" t="s">
        <v>19</v>
      </c>
      <c r="I1023" s="2">
        <v>17</v>
      </c>
      <c r="J1023" s="3">
        <v>114019</v>
      </c>
      <c r="K1023" s="3">
        <v>1938323</v>
      </c>
      <c r="L1023" s="3">
        <v>1327291</v>
      </c>
      <c r="M1023" s="3">
        <v>611032</v>
      </c>
      <c r="N1023" s="4">
        <v>14</v>
      </c>
    </row>
    <row r="1024" spans="1:14" x14ac:dyDescent="0.25">
      <c r="A1024" s="2">
        <v>5</v>
      </c>
      <c r="B1024" s="1" t="s">
        <v>65</v>
      </c>
      <c r="C1024" s="1" t="s">
        <v>66</v>
      </c>
      <c r="D1024" s="1" t="s">
        <v>67</v>
      </c>
      <c r="E1024" s="11" t="s">
        <v>44</v>
      </c>
      <c r="F1024" s="12">
        <v>45748</v>
      </c>
      <c r="G1024" s="1" t="s">
        <v>16</v>
      </c>
      <c r="H1024" s="1" t="s">
        <v>20</v>
      </c>
      <c r="I1024" s="2">
        <v>5</v>
      </c>
      <c r="J1024" s="3">
        <v>51845</v>
      </c>
      <c r="K1024" s="3">
        <v>259225</v>
      </c>
      <c r="L1024" s="3">
        <v>164405</v>
      </c>
      <c r="M1024" s="3">
        <v>94820</v>
      </c>
      <c r="N1024" s="4">
        <v>14</v>
      </c>
    </row>
    <row r="1025" spans="1:14" x14ac:dyDescent="0.25">
      <c r="A1025" s="2">
        <v>5</v>
      </c>
      <c r="B1025" s="1" t="s">
        <v>65</v>
      </c>
      <c r="C1025" s="1" t="s">
        <v>66</v>
      </c>
      <c r="D1025" s="1" t="s">
        <v>67</v>
      </c>
      <c r="E1025" s="11" t="s">
        <v>44</v>
      </c>
      <c r="F1025" s="12">
        <v>45748</v>
      </c>
      <c r="G1025" s="1" t="s">
        <v>16</v>
      </c>
      <c r="H1025" s="1" t="s">
        <v>21</v>
      </c>
      <c r="I1025" s="2">
        <v>19</v>
      </c>
      <c r="J1025" s="3">
        <v>97603</v>
      </c>
      <c r="K1025" s="3">
        <v>1854457</v>
      </c>
      <c r="L1025" s="3">
        <v>1282776</v>
      </c>
      <c r="M1025" s="3">
        <v>571681</v>
      </c>
      <c r="N1025" s="4">
        <v>14</v>
      </c>
    </row>
    <row r="1026" spans="1:14" x14ac:dyDescent="0.25">
      <c r="A1026" s="2">
        <v>5</v>
      </c>
      <c r="B1026" s="1" t="s">
        <v>65</v>
      </c>
      <c r="C1026" s="1" t="s">
        <v>66</v>
      </c>
      <c r="D1026" s="1" t="s">
        <v>68</v>
      </c>
      <c r="E1026" s="11" t="s">
        <v>44</v>
      </c>
      <c r="F1026" s="12">
        <v>45748</v>
      </c>
      <c r="G1026" s="1" t="s">
        <v>22</v>
      </c>
      <c r="H1026" s="1" t="s">
        <v>23</v>
      </c>
      <c r="I1026" s="2">
        <v>2</v>
      </c>
      <c r="J1026" s="3">
        <v>40583</v>
      </c>
      <c r="K1026" s="3">
        <v>81166</v>
      </c>
      <c r="L1026" s="3">
        <v>36854</v>
      </c>
      <c r="M1026" s="3">
        <v>44312</v>
      </c>
      <c r="N1026" s="4">
        <v>6</v>
      </c>
    </row>
    <row r="1027" spans="1:14" x14ac:dyDescent="0.25">
      <c r="A1027" s="2">
        <v>5</v>
      </c>
      <c r="B1027" s="1" t="s">
        <v>65</v>
      </c>
      <c r="C1027" s="1" t="s">
        <v>66</v>
      </c>
      <c r="D1027" s="1" t="s">
        <v>67</v>
      </c>
      <c r="E1027" s="11" t="s">
        <v>44</v>
      </c>
      <c r="F1027" s="12">
        <v>45748</v>
      </c>
      <c r="G1027" s="1" t="s">
        <v>22</v>
      </c>
      <c r="H1027" s="1" t="s">
        <v>24</v>
      </c>
      <c r="I1027" s="2">
        <v>6</v>
      </c>
      <c r="J1027" s="3">
        <v>39456</v>
      </c>
      <c r="K1027" s="3">
        <v>236736</v>
      </c>
      <c r="L1027" s="3">
        <v>103361</v>
      </c>
      <c r="M1027" s="3">
        <v>133375</v>
      </c>
      <c r="N1027" s="4">
        <v>9</v>
      </c>
    </row>
    <row r="1028" spans="1:14" x14ac:dyDescent="0.25">
      <c r="A1028" s="2">
        <v>5</v>
      </c>
      <c r="B1028" s="1" t="s">
        <v>65</v>
      </c>
      <c r="C1028" s="1" t="s">
        <v>66</v>
      </c>
      <c r="D1028" s="1" t="s">
        <v>67</v>
      </c>
      <c r="E1028" s="11" t="s">
        <v>44</v>
      </c>
      <c r="F1028" s="12">
        <v>45748</v>
      </c>
      <c r="G1028" s="1" t="s">
        <v>22</v>
      </c>
      <c r="H1028" s="1" t="s">
        <v>25</v>
      </c>
      <c r="I1028" s="2">
        <v>7</v>
      </c>
      <c r="J1028" s="3">
        <v>53276</v>
      </c>
      <c r="K1028" s="3">
        <v>372932</v>
      </c>
      <c r="L1028" s="3">
        <v>245578</v>
      </c>
      <c r="M1028" s="3">
        <v>127354</v>
      </c>
      <c r="N1028" s="4">
        <v>0</v>
      </c>
    </row>
    <row r="1029" spans="1:14" x14ac:dyDescent="0.25">
      <c r="A1029" s="2">
        <v>5</v>
      </c>
      <c r="B1029" s="1" t="s">
        <v>65</v>
      </c>
      <c r="C1029" s="1" t="s">
        <v>66</v>
      </c>
      <c r="D1029" s="1" t="s">
        <v>68</v>
      </c>
      <c r="E1029" s="11" t="s">
        <v>44</v>
      </c>
      <c r="F1029" s="12">
        <v>45748</v>
      </c>
      <c r="G1029" s="1" t="s">
        <v>22</v>
      </c>
      <c r="H1029" s="1" t="s">
        <v>26</v>
      </c>
      <c r="I1029" s="2">
        <v>2</v>
      </c>
      <c r="J1029" s="3">
        <v>33050</v>
      </c>
      <c r="K1029" s="3">
        <v>66100</v>
      </c>
      <c r="L1029" s="3">
        <v>27469</v>
      </c>
      <c r="M1029" s="3">
        <v>38631</v>
      </c>
      <c r="N1029" s="4">
        <v>8</v>
      </c>
    </row>
    <row r="1030" spans="1:14" x14ac:dyDescent="0.25">
      <c r="A1030" s="2">
        <v>5</v>
      </c>
      <c r="B1030" s="1" t="s">
        <v>65</v>
      </c>
      <c r="C1030" s="1" t="s">
        <v>66</v>
      </c>
      <c r="D1030" s="1" t="s">
        <v>68</v>
      </c>
      <c r="E1030" s="11" t="s">
        <v>44</v>
      </c>
      <c r="F1030" s="12">
        <v>45748</v>
      </c>
      <c r="G1030" s="1" t="s">
        <v>27</v>
      </c>
      <c r="H1030" s="1" t="s">
        <v>28</v>
      </c>
      <c r="I1030" s="2">
        <v>13</v>
      </c>
      <c r="J1030" s="3">
        <v>82021</v>
      </c>
      <c r="K1030" s="3">
        <v>1066273</v>
      </c>
      <c r="L1030" s="3">
        <v>533864</v>
      </c>
      <c r="M1030" s="3">
        <v>532409</v>
      </c>
      <c r="N1030" s="4">
        <v>3</v>
      </c>
    </row>
    <row r="1031" spans="1:14" x14ac:dyDescent="0.25">
      <c r="A1031" s="2">
        <v>5</v>
      </c>
      <c r="B1031" s="1" t="s">
        <v>65</v>
      </c>
      <c r="C1031" s="1" t="s">
        <v>66</v>
      </c>
      <c r="D1031" s="1" t="s">
        <v>67</v>
      </c>
      <c r="E1031" s="11" t="s">
        <v>44</v>
      </c>
      <c r="F1031" s="12">
        <v>45748</v>
      </c>
      <c r="G1031" s="1" t="s">
        <v>27</v>
      </c>
      <c r="H1031" s="1" t="s">
        <v>29</v>
      </c>
      <c r="I1031" s="2">
        <v>3</v>
      </c>
      <c r="J1031" s="3">
        <v>56176</v>
      </c>
      <c r="K1031" s="3">
        <v>168528</v>
      </c>
      <c r="L1031" s="3">
        <v>102861</v>
      </c>
      <c r="M1031" s="3">
        <v>65667</v>
      </c>
      <c r="N1031" s="4">
        <v>11</v>
      </c>
    </row>
    <row r="1032" spans="1:14" x14ac:dyDescent="0.25">
      <c r="A1032" s="2">
        <v>5</v>
      </c>
      <c r="B1032" s="1" t="s">
        <v>65</v>
      </c>
      <c r="C1032" s="1" t="s">
        <v>66</v>
      </c>
      <c r="D1032" s="1" t="s">
        <v>67</v>
      </c>
      <c r="E1032" s="11" t="s">
        <v>44</v>
      </c>
      <c r="F1032" s="12">
        <v>45748</v>
      </c>
      <c r="G1032" s="1" t="s">
        <v>27</v>
      </c>
      <c r="H1032" s="1" t="s">
        <v>30</v>
      </c>
      <c r="I1032" s="2">
        <v>16</v>
      </c>
      <c r="J1032" s="3">
        <v>20174</v>
      </c>
      <c r="K1032" s="3">
        <v>322784</v>
      </c>
      <c r="L1032" s="3">
        <v>171268</v>
      </c>
      <c r="M1032" s="3">
        <v>151516</v>
      </c>
      <c r="N1032" s="4">
        <v>0</v>
      </c>
    </row>
    <row r="1033" spans="1:14" x14ac:dyDescent="0.25">
      <c r="A1033" s="2">
        <v>5</v>
      </c>
      <c r="B1033" s="1" t="s">
        <v>65</v>
      </c>
      <c r="C1033" s="1" t="s">
        <v>66</v>
      </c>
      <c r="D1033" s="1" t="s">
        <v>67</v>
      </c>
      <c r="E1033" s="11" t="s">
        <v>44</v>
      </c>
      <c r="F1033" s="12">
        <v>45748</v>
      </c>
      <c r="G1033" s="1" t="s">
        <v>27</v>
      </c>
      <c r="H1033" s="1" t="s">
        <v>31</v>
      </c>
      <c r="I1033" s="2">
        <v>17</v>
      </c>
      <c r="J1033" s="3">
        <v>125410</v>
      </c>
      <c r="K1033" s="3">
        <v>2131970</v>
      </c>
      <c r="L1033" s="3">
        <v>1161390</v>
      </c>
      <c r="M1033" s="3">
        <v>970580</v>
      </c>
      <c r="N1033" s="4">
        <v>3</v>
      </c>
    </row>
    <row r="1034" spans="1:14" x14ac:dyDescent="0.25">
      <c r="A1034" s="2">
        <v>5</v>
      </c>
      <c r="B1034" s="1" t="s">
        <v>65</v>
      </c>
      <c r="C1034" s="1" t="s">
        <v>66</v>
      </c>
      <c r="D1034" s="1" t="s">
        <v>67</v>
      </c>
      <c r="E1034" s="11" t="s">
        <v>44</v>
      </c>
      <c r="F1034" s="12">
        <v>45748</v>
      </c>
      <c r="G1034" s="1" t="s">
        <v>32</v>
      </c>
      <c r="H1034" s="1" t="s">
        <v>33</v>
      </c>
      <c r="I1034" s="2">
        <v>4</v>
      </c>
      <c r="J1034" s="3">
        <v>11033</v>
      </c>
      <c r="K1034" s="3">
        <v>44132</v>
      </c>
      <c r="L1034" s="3">
        <v>17865</v>
      </c>
      <c r="M1034" s="3">
        <v>26267</v>
      </c>
      <c r="N1034" s="4">
        <v>10</v>
      </c>
    </row>
    <row r="1035" spans="1:14" x14ac:dyDescent="0.25">
      <c r="A1035" s="2">
        <v>5</v>
      </c>
      <c r="B1035" s="1" t="s">
        <v>65</v>
      </c>
      <c r="C1035" s="1" t="s">
        <v>66</v>
      </c>
      <c r="D1035" s="1" t="s">
        <v>68</v>
      </c>
      <c r="E1035" s="11" t="s">
        <v>44</v>
      </c>
      <c r="F1035" s="12">
        <v>45748</v>
      </c>
      <c r="G1035" s="1" t="s">
        <v>32</v>
      </c>
      <c r="H1035" s="1" t="s">
        <v>34</v>
      </c>
      <c r="I1035" s="2">
        <v>3</v>
      </c>
      <c r="J1035" s="3">
        <v>7535</v>
      </c>
      <c r="K1035" s="3">
        <v>22605</v>
      </c>
      <c r="L1035" s="3">
        <v>14450</v>
      </c>
      <c r="M1035" s="3">
        <v>8155</v>
      </c>
      <c r="N1035" s="4">
        <v>0</v>
      </c>
    </row>
    <row r="1036" spans="1:14" x14ac:dyDescent="0.25">
      <c r="A1036" s="2">
        <v>5</v>
      </c>
      <c r="B1036" s="1" t="s">
        <v>65</v>
      </c>
      <c r="C1036" s="1" t="s">
        <v>66</v>
      </c>
      <c r="D1036" s="1" t="s">
        <v>67</v>
      </c>
      <c r="E1036" s="11" t="s">
        <v>44</v>
      </c>
      <c r="F1036" s="12">
        <v>45748</v>
      </c>
      <c r="G1036" s="1" t="s">
        <v>32</v>
      </c>
      <c r="H1036" s="1" t="s">
        <v>35</v>
      </c>
      <c r="I1036" s="2">
        <v>14</v>
      </c>
      <c r="J1036" s="3">
        <v>9769</v>
      </c>
      <c r="K1036" s="3">
        <v>136766</v>
      </c>
      <c r="L1036" s="3">
        <v>72663</v>
      </c>
      <c r="M1036" s="3">
        <v>64103</v>
      </c>
      <c r="N1036" s="4">
        <v>3</v>
      </c>
    </row>
    <row r="1037" spans="1:14" x14ac:dyDescent="0.25">
      <c r="A1037" s="2">
        <v>5</v>
      </c>
      <c r="B1037" s="1" t="s">
        <v>65</v>
      </c>
      <c r="C1037" s="1" t="s">
        <v>66</v>
      </c>
      <c r="D1037" s="1" t="s">
        <v>67</v>
      </c>
      <c r="E1037" s="11" t="s">
        <v>44</v>
      </c>
      <c r="F1037" s="12">
        <v>45748</v>
      </c>
      <c r="G1037" s="1" t="s">
        <v>32</v>
      </c>
      <c r="H1037" s="1" t="s">
        <v>36</v>
      </c>
      <c r="I1037" s="2">
        <v>19</v>
      </c>
      <c r="J1037" s="3">
        <v>9997</v>
      </c>
      <c r="K1037" s="3">
        <v>189943</v>
      </c>
      <c r="L1037" s="3">
        <v>107114</v>
      </c>
      <c r="M1037" s="3">
        <v>82829</v>
      </c>
      <c r="N1037" s="4">
        <v>0</v>
      </c>
    </row>
    <row r="1038" spans="1:14" x14ac:dyDescent="0.25">
      <c r="A1038" s="2">
        <v>5</v>
      </c>
      <c r="B1038" s="1" t="s">
        <v>65</v>
      </c>
      <c r="C1038" s="1" t="s">
        <v>66</v>
      </c>
      <c r="D1038" s="1" t="s">
        <v>68</v>
      </c>
      <c r="E1038" s="11" t="s">
        <v>44</v>
      </c>
      <c r="F1038" s="12">
        <v>45748</v>
      </c>
      <c r="G1038" s="1" t="s">
        <v>37</v>
      </c>
      <c r="H1038" s="1" t="s">
        <v>38</v>
      </c>
      <c r="I1038" s="2">
        <v>8</v>
      </c>
      <c r="J1038" s="3">
        <v>30578</v>
      </c>
      <c r="K1038" s="3">
        <v>244624</v>
      </c>
      <c r="L1038" s="3">
        <v>129376</v>
      </c>
      <c r="M1038" s="3">
        <v>115248</v>
      </c>
      <c r="N1038" s="4">
        <v>4</v>
      </c>
    </row>
    <row r="1039" spans="1:14" x14ac:dyDescent="0.25">
      <c r="A1039" s="2">
        <v>5</v>
      </c>
      <c r="B1039" s="1" t="s">
        <v>65</v>
      </c>
      <c r="C1039" s="1" t="s">
        <v>66</v>
      </c>
      <c r="D1039" s="1" t="s">
        <v>67</v>
      </c>
      <c r="E1039" s="11" t="s">
        <v>44</v>
      </c>
      <c r="F1039" s="12">
        <v>45748</v>
      </c>
      <c r="G1039" s="1" t="s">
        <v>37</v>
      </c>
      <c r="H1039" s="1" t="s">
        <v>39</v>
      </c>
      <c r="I1039" s="2">
        <v>16</v>
      </c>
      <c r="J1039" s="3">
        <v>20389</v>
      </c>
      <c r="K1039" s="3">
        <v>326224</v>
      </c>
      <c r="L1039" s="3">
        <v>142086</v>
      </c>
      <c r="M1039" s="3">
        <v>184138</v>
      </c>
      <c r="N1039" s="4">
        <v>13</v>
      </c>
    </row>
    <row r="1040" spans="1:14" x14ac:dyDescent="0.25">
      <c r="A1040" s="2">
        <v>5</v>
      </c>
      <c r="B1040" s="1" t="s">
        <v>65</v>
      </c>
      <c r="C1040" s="1" t="s">
        <v>66</v>
      </c>
      <c r="D1040" s="1" t="s">
        <v>67</v>
      </c>
      <c r="E1040" s="11" t="s">
        <v>44</v>
      </c>
      <c r="F1040" s="12">
        <v>45748</v>
      </c>
      <c r="G1040" s="1" t="s">
        <v>37</v>
      </c>
      <c r="H1040" s="1" t="s">
        <v>40</v>
      </c>
      <c r="I1040" s="2">
        <v>3</v>
      </c>
      <c r="J1040" s="3">
        <v>78002</v>
      </c>
      <c r="K1040" s="3">
        <v>234006</v>
      </c>
      <c r="L1040" s="3">
        <v>121441</v>
      </c>
      <c r="M1040" s="3">
        <v>112565</v>
      </c>
      <c r="N1040" s="4">
        <v>10</v>
      </c>
    </row>
    <row r="1041" spans="1:14" x14ac:dyDescent="0.25">
      <c r="A1041" s="2">
        <v>5</v>
      </c>
      <c r="B1041" s="1" t="s">
        <v>65</v>
      </c>
      <c r="C1041" s="1" t="s">
        <v>66</v>
      </c>
      <c r="D1041" s="1" t="s">
        <v>68</v>
      </c>
      <c r="E1041" s="11" t="s">
        <v>44</v>
      </c>
      <c r="F1041" s="12">
        <v>45748</v>
      </c>
      <c r="G1041" s="1" t="s">
        <v>37</v>
      </c>
      <c r="H1041" s="1" t="s">
        <v>41</v>
      </c>
      <c r="I1041" s="2">
        <v>11</v>
      </c>
      <c r="J1041" s="3">
        <v>21481</v>
      </c>
      <c r="K1041" s="3">
        <v>236291</v>
      </c>
      <c r="L1041" s="3">
        <v>151849</v>
      </c>
      <c r="M1041" s="3">
        <v>84442</v>
      </c>
      <c r="N1041" s="4">
        <v>14</v>
      </c>
    </row>
    <row r="1042" spans="1:14" x14ac:dyDescent="0.25">
      <c r="A1042" s="2">
        <v>5</v>
      </c>
      <c r="B1042" s="1" t="s">
        <v>65</v>
      </c>
      <c r="C1042" s="1" t="s">
        <v>66</v>
      </c>
      <c r="D1042" s="1" t="s">
        <v>68</v>
      </c>
      <c r="E1042" s="11" t="s">
        <v>45</v>
      </c>
      <c r="F1042" s="12">
        <v>45778</v>
      </c>
      <c r="G1042" s="1" t="s">
        <v>16</v>
      </c>
      <c r="H1042" s="1" t="s">
        <v>17</v>
      </c>
      <c r="I1042" s="2">
        <v>4</v>
      </c>
      <c r="J1042" s="3">
        <v>145355</v>
      </c>
      <c r="K1042" s="3">
        <v>581420</v>
      </c>
      <c r="L1042" s="3">
        <v>283159</v>
      </c>
      <c r="M1042" s="3">
        <v>298261</v>
      </c>
      <c r="N1042" s="4">
        <v>7</v>
      </c>
    </row>
    <row r="1043" spans="1:14" x14ac:dyDescent="0.25">
      <c r="A1043" s="2">
        <v>5</v>
      </c>
      <c r="B1043" s="1" t="s">
        <v>65</v>
      </c>
      <c r="C1043" s="1" t="s">
        <v>66</v>
      </c>
      <c r="D1043" s="1" t="s">
        <v>68</v>
      </c>
      <c r="E1043" s="11" t="s">
        <v>45</v>
      </c>
      <c r="F1043" s="12">
        <v>45778</v>
      </c>
      <c r="G1043" s="1" t="s">
        <v>16</v>
      </c>
      <c r="H1043" s="1" t="s">
        <v>19</v>
      </c>
      <c r="I1043" s="2">
        <v>19</v>
      </c>
      <c r="J1043" s="3">
        <v>106328</v>
      </c>
      <c r="K1043" s="3">
        <v>2020232</v>
      </c>
      <c r="L1043" s="3">
        <v>1290937</v>
      </c>
      <c r="M1043" s="3">
        <v>729295</v>
      </c>
      <c r="N1043" s="4">
        <v>6</v>
      </c>
    </row>
    <row r="1044" spans="1:14" x14ac:dyDescent="0.25">
      <c r="A1044" s="2">
        <v>5</v>
      </c>
      <c r="B1044" s="1" t="s">
        <v>65</v>
      </c>
      <c r="C1044" s="1" t="s">
        <v>66</v>
      </c>
      <c r="D1044" s="1" t="s">
        <v>67</v>
      </c>
      <c r="E1044" s="11" t="s">
        <v>45</v>
      </c>
      <c r="F1044" s="12">
        <v>45778</v>
      </c>
      <c r="G1044" s="1" t="s">
        <v>16</v>
      </c>
      <c r="H1044" s="1" t="s">
        <v>20</v>
      </c>
      <c r="I1044" s="2">
        <v>14</v>
      </c>
      <c r="J1044" s="3">
        <v>134615</v>
      </c>
      <c r="K1044" s="3">
        <v>1884610</v>
      </c>
      <c r="L1044" s="3">
        <v>1282645</v>
      </c>
      <c r="M1044" s="3">
        <v>601965</v>
      </c>
      <c r="N1044" s="4">
        <v>1</v>
      </c>
    </row>
    <row r="1045" spans="1:14" x14ac:dyDescent="0.25">
      <c r="A1045" s="2">
        <v>5</v>
      </c>
      <c r="B1045" s="1" t="s">
        <v>65</v>
      </c>
      <c r="C1045" s="1" t="s">
        <v>66</v>
      </c>
      <c r="D1045" s="1" t="s">
        <v>68</v>
      </c>
      <c r="E1045" s="11" t="s">
        <v>45</v>
      </c>
      <c r="F1045" s="12">
        <v>45778</v>
      </c>
      <c r="G1045" s="1" t="s">
        <v>16</v>
      </c>
      <c r="H1045" s="1" t="s">
        <v>21</v>
      </c>
      <c r="I1045" s="2">
        <v>16</v>
      </c>
      <c r="J1045" s="3">
        <v>31254</v>
      </c>
      <c r="K1045" s="3">
        <v>500064</v>
      </c>
      <c r="L1045" s="3">
        <v>335956</v>
      </c>
      <c r="M1045" s="3">
        <v>164108</v>
      </c>
      <c r="N1045" s="4">
        <v>1</v>
      </c>
    </row>
    <row r="1046" spans="1:14" x14ac:dyDescent="0.25">
      <c r="A1046" s="2">
        <v>5</v>
      </c>
      <c r="B1046" s="1" t="s">
        <v>65</v>
      </c>
      <c r="C1046" s="1" t="s">
        <v>66</v>
      </c>
      <c r="D1046" s="1" t="s">
        <v>68</v>
      </c>
      <c r="E1046" s="11" t="s">
        <v>45</v>
      </c>
      <c r="F1046" s="12">
        <v>45778</v>
      </c>
      <c r="G1046" s="1" t="s">
        <v>22</v>
      </c>
      <c r="H1046" s="1" t="s">
        <v>23</v>
      </c>
      <c r="I1046" s="2">
        <v>16</v>
      </c>
      <c r="J1046" s="3">
        <v>36199</v>
      </c>
      <c r="K1046" s="3">
        <v>579184</v>
      </c>
      <c r="L1046" s="3">
        <v>240680</v>
      </c>
      <c r="M1046" s="3">
        <v>338504</v>
      </c>
      <c r="N1046" s="4">
        <v>0</v>
      </c>
    </row>
    <row r="1047" spans="1:14" x14ac:dyDescent="0.25">
      <c r="A1047" s="2">
        <v>5</v>
      </c>
      <c r="B1047" s="1" t="s">
        <v>65</v>
      </c>
      <c r="C1047" s="1" t="s">
        <v>66</v>
      </c>
      <c r="D1047" s="1" t="s">
        <v>68</v>
      </c>
      <c r="E1047" s="11" t="s">
        <v>45</v>
      </c>
      <c r="F1047" s="12">
        <v>45778</v>
      </c>
      <c r="G1047" s="1" t="s">
        <v>22</v>
      </c>
      <c r="H1047" s="1" t="s">
        <v>24</v>
      </c>
      <c r="I1047" s="2">
        <v>12</v>
      </c>
      <c r="J1047" s="3">
        <v>39581</v>
      </c>
      <c r="K1047" s="3">
        <v>474972</v>
      </c>
      <c r="L1047" s="3">
        <v>245657</v>
      </c>
      <c r="M1047" s="3">
        <v>229315</v>
      </c>
      <c r="N1047" s="4">
        <v>4</v>
      </c>
    </row>
    <row r="1048" spans="1:14" x14ac:dyDescent="0.25">
      <c r="A1048" s="2">
        <v>5</v>
      </c>
      <c r="B1048" s="1" t="s">
        <v>65</v>
      </c>
      <c r="C1048" s="1" t="s">
        <v>66</v>
      </c>
      <c r="D1048" s="1" t="s">
        <v>68</v>
      </c>
      <c r="E1048" s="11" t="s">
        <v>45</v>
      </c>
      <c r="F1048" s="12">
        <v>45778</v>
      </c>
      <c r="G1048" s="1" t="s">
        <v>22</v>
      </c>
      <c r="H1048" s="1" t="s">
        <v>25</v>
      </c>
      <c r="I1048" s="2">
        <v>12</v>
      </c>
      <c r="J1048" s="3">
        <v>86960</v>
      </c>
      <c r="K1048" s="3">
        <v>1043520</v>
      </c>
      <c r="L1048" s="3">
        <v>710113</v>
      </c>
      <c r="M1048" s="3">
        <v>333407</v>
      </c>
      <c r="N1048" s="4">
        <v>4</v>
      </c>
    </row>
    <row r="1049" spans="1:14" x14ac:dyDescent="0.25">
      <c r="A1049" s="2">
        <v>5</v>
      </c>
      <c r="B1049" s="1" t="s">
        <v>65</v>
      </c>
      <c r="C1049" s="1" t="s">
        <v>66</v>
      </c>
      <c r="D1049" s="1" t="s">
        <v>67</v>
      </c>
      <c r="E1049" s="11" t="s">
        <v>45</v>
      </c>
      <c r="F1049" s="12">
        <v>45778</v>
      </c>
      <c r="G1049" s="1" t="s">
        <v>22</v>
      </c>
      <c r="H1049" s="1" t="s">
        <v>26</v>
      </c>
      <c r="I1049" s="2">
        <v>14</v>
      </c>
      <c r="J1049" s="3">
        <v>43620</v>
      </c>
      <c r="K1049" s="3">
        <v>610680</v>
      </c>
      <c r="L1049" s="3">
        <v>256794</v>
      </c>
      <c r="M1049" s="3">
        <v>353886</v>
      </c>
      <c r="N1049" s="4">
        <v>10</v>
      </c>
    </row>
    <row r="1050" spans="1:14" x14ac:dyDescent="0.25">
      <c r="A1050" s="2">
        <v>5</v>
      </c>
      <c r="B1050" s="1" t="s">
        <v>65</v>
      </c>
      <c r="C1050" s="1" t="s">
        <v>66</v>
      </c>
      <c r="D1050" s="1" t="s">
        <v>67</v>
      </c>
      <c r="E1050" s="11" t="s">
        <v>45</v>
      </c>
      <c r="F1050" s="12">
        <v>45778</v>
      </c>
      <c r="G1050" s="1" t="s">
        <v>27</v>
      </c>
      <c r="H1050" s="1" t="s">
        <v>28</v>
      </c>
      <c r="I1050" s="2">
        <v>1</v>
      </c>
      <c r="J1050" s="3">
        <v>115549</v>
      </c>
      <c r="K1050" s="3">
        <v>115549</v>
      </c>
      <c r="L1050" s="3">
        <v>49128</v>
      </c>
      <c r="M1050" s="3">
        <v>66421</v>
      </c>
      <c r="N1050" s="4">
        <v>8</v>
      </c>
    </row>
    <row r="1051" spans="1:14" x14ac:dyDescent="0.25">
      <c r="A1051" s="2">
        <v>5</v>
      </c>
      <c r="B1051" s="1" t="s">
        <v>65</v>
      </c>
      <c r="C1051" s="1" t="s">
        <v>66</v>
      </c>
      <c r="D1051" s="1" t="s">
        <v>68</v>
      </c>
      <c r="E1051" s="11" t="s">
        <v>45</v>
      </c>
      <c r="F1051" s="12">
        <v>45778</v>
      </c>
      <c r="G1051" s="1" t="s">
        <v>27</v>
      </c>
      <c r="H1051" s="1" t="s">
        <v>29</v>
      </c>
      <c r="I1051" s="2">
        <v>19</v>
      </c>
      <c r="J1051" s="3">
        <v>106741</v>
      </c>
      <c r="K1051" s="3">
        <v>2028079</v>
      </c>
      <c r="L1051" s="3">
        <v>1013505</v>
      </c>
      <c r="M1051" s="3">
        <v>1014574</v>
      </c>
      <c r="N1051" s="4">
        <v>1</v>
      </c>
    </row>
    <row r="1052" spans="1:14" x14ac:dyDescent="0.25">
      <c r="A1052" s="2">
        <v>5</v>
      </c>
      <c r="B1052" s="1" t="s">
        <v>65</v>
      </c>
      <c r="C1052" s="1" t="s">
        <v>66</v>
      </c>
      <c r="D1052" s="1" t="s">
        <v>67</v>
      </c>
      <c r="E1052" s="11" t="s">
        <v>45</v>
      </c>
      <c r="F1052" s="12">
        <v>45778</v>
      </c>
      <c r="G1052" s="1" t="s">
        <v>27</v>
      </c>
      <c r="H1052" s="1" t="s">
        <v>30</v>
      </c>
      <c r="I1052" s="2">
        <v>15</v>
      </c>
      <c r="J1052" s="3">
        <v>27846</v>
      </c>
      <c r="K1052" s="3">
        <v>417690</v>
      </c>
      <c r="L1052" s="3">
        <v>285422</v>
      </c>
      <c r="M1052" s="3">
        <v>132268</v>
      </c>
      <c r="N1052" s="4">
        <v>12</v>
      </c>
    </row>
    <row r="1053" spans="1:14" x14ac:dyDescent="0.25">
      <c r="A1053" s="2">
        <v>5</v>
      </c>
      <c r="B1053" s="1" t="s">
        <v>65</v>
      </c>
      <c r="C1053" s="1" t="s">
        <v>66</v>
      </c>
      <c r="D1053" s="1" t="s">
        <v>67</v>
      </c>
      <c r="E1053" s="11" t="s">
        <v>45</v>
      </c>
      <c r="F1053" s="12">
        <v>45778</v>
      </c>
      <c r="G1053" s="1" t="s">
        <v>27</v>
      </c>
      <c r="H1053" s="1" t="s">
        <v>31</v>
      </c>
      <c r="I1053" s="2">
        <v>7</v>
      </c>
      <c r="J1053" s="3">
        <v>101486</v>
      </c>
      <c r="K1053" s="3">
        <v>710402</v>
      </c>
      <c r="L1053" s="3">
        <v>308923</v>
      </c>
      <c r="M1053" s="3">
        <v>401479</v>
      </c>
      <c r="N1053" s="4">
        <v>6</v>
      </c>
    </row>
    <row r="1054" spans="1:14" x14ac:dyDescent="0.25">
      <c r="A1054" s="2">
        <v>5</v>
      </c>
      <c r="B1054" s="1" t="s">
        <v>65</v>
      </c>
      <c r="C1054" s="1" t="s">
        <v>66</v>
      </c>
      <c r="D1054" s="1" t="s">
        <v>68</v>
      </c>
      <c r="E1054" s="11" t="s">
        <v>45</v>
      </c>
      <c r="F1054" s="12">
        <v>45778</v>
      </c>
      <c r="G1054" s="1" t="s">
        <v>32</v>
      </c>
      <c r="H1054" s="1" t="s">
        <v>33</v>
      </c>
      <c r="I1054" s="2">
        <v>19</v>
      </c>
      <c r="J1054" s="3">
        <v>13319</v>
      </c>
      <c r="K1054" s="3">
        <v>253061</v>
      </c>
      <c r="L1054" s="3">
        <v>158234</v>
      </c>
      <c r="M1054" s="3">
        <v>94827</v>
      </c>
      <c r="N1054" s="4">
        <v>7</v>
      </c>
    </row>
    <row r="1055" spans="1:14" x14ac:dyDescent="0.25">
      <c r="A1055" s="2">
        <v>5</v>
      </c>
      <c r="B1055" s="1" t="s">
        <v>65</v>
      </c>
      <c r="C1055" s="1" t="s">
        <v>66</v>
      </c>
      <c r="D1055" s="1" t="s">
        <v>68</v>
      </c>
      <c r="E1055" s="11" t="s">
        <v>45</v>
      </c>
      <c r="F1055" s="12">
        <v>45778</v>
      </c>
      <c r="G1055" s="1" t="s">
        <v>32</v>
      </c>
      <c r="H1055" s="1" t="s">
        <v>34</v>
      </c>
      <c r="I1055" s="2">
        <v>18</v>
      </c>
      <c r="J1055" s="3">
        <v>7761</v>
      </c>
      <c r="K1055" s="3">
        <v>139698</v>
      </c>
      <c r="L1055" s="3">
        <v>94215</v>
      </c>
      <c r="M1055" s="3">
        <v>45483</v>
      </c>
      <c r="N1055" s="4">
        <v>7</v>
      </c>
    </row>
    <row r="1056" spans="1:14" x14ac:dyDescent="0.25">
      <c r="A1056" s="2">
        <v>5</v>
      </c>
      <c r="B1056" s="1" t="s">
        <v>65</v>
      </c>
      <c r="C1056" s="1" t="s">
        <v>66</v>
      </c>
      <c r="D1056" s="1" t="s">
        <v>68</v>
      </c>
      <c r="E1056" s="11" t="s">
        <v>45</v>
      </c>
      <c r="F1056" s="12">
        <v>45778</v>
      </c>
      <c r="G1056" s="1" t="s">
        <v>32</v>
      </c>
      <c r="H1056" s="1" t="s">
        <v>35</v>
      </c>
      <c r="I1056" s="2">
        <v>10</v>
      </c>
      <c r="J1056" s="3">
        <v>11160</v>
      </c>
      <c r="K1056" s="3">
        <v>111600</v>
      </c>
      <c r="L1056" s="3">
        <v>48092</v>
      </c>
      <c r="M1056" s="3">
        <v>63508</v>
      </c>
      <c r="N1056" s="4">
        <v>9</v>
      </c>
    </row>
    <row r="1057" spans="1:14" x14ac:dyDescent="0.25">
      <c r="A1057" s="2">
        <v>5</v>
      </c>
      <c r="B1057" s="1" t="s">
        <v>65</v>
      </c>
      <c r="C1057" s="1" t="s">
        <v>66</v>
      </c>
      <c r="D1057" s="1" t="s">
        <v>68</v>
      </c>
      <c r="E1057" s="11" t="s">
        <v>45</v>
      </c>
      <c r="F1057" s="12">
        <v>45778</v>
      </c>
      <c r="G1057" s="1" t="s">
        <v>32</v>
      </c>
      <c r="H1057" s="1" t="s">
        <v>36</v>
      </c>
      <c r="I1057" s="2">
        <v>5</v>
      </c>
      <c r="J1057" s="3">
        <v>18723</v>
      </c>
      <c r="K1057" s="3">
        <v>93615</v>
      </c>
      <c r="L1057" s="3">
        <v>48780</v>
      </c>
      <c r="M1057" s="3">
        <v>44835</v>
      </c>
      <c r="N1057" s="4">
        <v>4</v>
      </c>
    </row>
    <row r="1058" spans="1:14" x14ac:dyDescent="0.25">
      <c r="A1058" s="2">
        <v>5</v>
      </c>
      <c r="B1058" s="1" t="s">
        <v>65</v>
      </c>
      <c r="C1058" s="1" t="s">
        <v>66</v>
      </c>
      <c r="D1058" s="1" t="s">
        <v>67</v>
      </c>
      <c r="E1058" s="11" t="s">
        <v>45</v>
      </c>
      <c r="F1058" s="12">
        <v>45778</v>
      </c>
      <c r="G1058" s="1" t="s">
        <v>37</v>
      </c>
      <c r="H1058" s="1" t="s">
        <v>38</v>
      </c>
      <c r="I1058" s="2">
        <v>18</v>
      </c>
      <c r="J1058" s="3">
        <v>130041</v>
      </c>
      <c r="K1058" s="3">
        <v>2340738</v>
      </c>
      <c r="L1058" s="3">
        <v>1345116</v>
      </c>
      <c r="M1058" s="3">
        <v>995622</v>
      </c>
      <c r="N1058" s="4">
        <v>0</v>
      </c>
    </row>
    <row r="1059" spans="1:14" x14ac:dyDescent="0.25">
      <c r="A1059" s="2">
        <v>5</v>
      </c>
      <c r="B1059" s="1" t="s">
        <v>65</v>
      </c>
      <c r="C1059" s="1" t="s">
        <v>66</v>
      </c>
      <c r="D1059" s="1" t="s">
        <v>67</v>
      </c>
      <c r="E1059" s="11" t="s">
        <v>45</v>
      </c>
      <c r="F1059" s="12">
        <v>45778</v>
      </c>
      <c r="G1059" s="1" t="s">
        <v>37</v>
      </c>
      <c r="H1059" s="1" t="s">
        <v>39</v>
      </c>
      <c r="I1059" s="2">
        <v>17</v>
      </c>
      <c r="J1059" s="3">
        <v>146155</v>
      </c>
      <c r="K1059" s="3">
        <v>2484635</v>
      </c>
      <c r="L1059" s="3">
        <v>1049044</v>
      </c>
      <c r="M1059" s="3">
        <v>1435591</v>
      </c>
      <c r="N1059" s="4">
        <v>2</v>
      </c>
    </row>
    <row r="1060" spans="1:14" x14ac:dyDescent="0.25">
      <c r="A1060" s="2">
        <v>5</v>
      </c>
      <c r="B1060" s="1" t="s">
        <v>65</v>
      </c>
      <c r="C1060" s="1" t="s">
        <v>66</v>
      </c>
      <c r="D1060" s="1" t="s">
        <v>68</v>
      </c>
      <c r="E1060" s="11" t="s">
        <v>45</v>
      </c>
      <c r="F1060" s="12">
        <v>45778</v>
      </c>
      <c r="G1060" s="1" t="s">
        <v>37</v>
      </c>
      <c r="H1060" s="1" t="s">
        <v>40</v>
      </c>
      <c r="I1060" s="2">
        <v>10</v>
      </c>
      <c r="J1060" s="3">
        <v>42625</v>
      </c>
      <c r="K1060" s="3">
        <v>426250</v>
      </c>
      <c r="L1060" s="3">
        <v>232268</v>
      </c>
      <c r="M1060" s="3">
        <v>193982</v>
      </c>
      <c r="N1060" s="4">
        <v>1</v>
      </c>
    </row>
    <row r="1061" spans="1:14" x14ac:dyDescent="0.25">
      <c r="A1061" s="2">
        <v>5</v>
      </c>
      <c r="B1061" s="1" t="s">
        <v>65</v>
      </c>
      <c r="C1061" s="1" t="s">
        <v>66</v>
      </c>
      <c r="D1061" s="1" t="s">
        <v>68</v>
      </c>
      <c r="E1061" s="11" t="s">
        <v>45</v>
      </c>
      <c r="F1061" s="12">
        <v>45778</v>
      </c>
      <c r="G1061" s="1" t="s">
        <v>37</v>
      </c>
      <c r="H1061" s="1" t="s">
        <v>41</v>
      </c>
      <c r="I1061" s="2">
        <v>10</v>
      </c>
      <c r="J1061" s="3">
        <v>108229</v>
      </c>
      <c r="K1061" s="3">
        <v>1082290</v>
      </c>
      <c r="L1061" s="3">
        <v>747387</v>
      </c>
      <c r="M1061" s="3">
        <v>334903</v>
      </c>
      <c r="N1061" s="4">
        <v>10</v>
      </c>
    </row>
    <row r="1062" spans="1:14" x14ac:dyDescent="0.25">
      <c r="A1062" s="2">
        <v>5</v>
      </c>
      <c r="B1062" s="1" t="s">
        <v>65</v>
      </c>
      <c r="C1062" s="1" t="s">
        <v>66</v>
      </c>
      <c r="D1062" s="1" t="s">
        <v>68</v>
      </c>
      <c r="E1062" s="11" t="s">
        <v>46</v>
      </c>
      <c r="F1062" s="12">
        <v>45809</v>
      </c>
      <c r="G1062" s="1" t="s">
        <v>16</v>
      </c>
      <c r="H1062" s="1" t="s">
        <v>17</v>
      </c>
      <c r="I1062" s="2">
        <v>7</v>
      </c>
      <c r="J1062" s="3">
        <v>114426</v>
      </c>
      <c r="K1062" s="3">
        <v>800982</v>
      </c>
      <c r="L1062" s="3">
        <v>338555</v>
      </c>
      <c r="M1062" s="3">
        <v>462427</v>
      </c>
      <c r="N1062" s="4">
        <v>5</v>
      </c>
    </row>
    <row r="1063" spans="1:14" x14ac:dyDescent="0.25">
      <c r="A1063" s="2">
        <v>5</v>
      </c>
      <c r="B1063" s="1" t="s">
        <v>65</v>
      </c>
      <c r="C1063" s="1" t="s">
        <v>66</v>
      </c>
      <c r="D1063" s="1" t="s">
        <v>68</v>
      </c>
      <c r="E1063" s="11" t="s">
        <v>46</v>
      </c>
      <c r="F1063" s="12">
        <v>45809</v>
      </c>
      <c r="G1063" s="1" t="s">
        <v>16</v>
      </c>
      <c r="H1063" s="1" t="s">
        <v>19</v>
      </c>
      <c r="I1063" s="2">
        <v>9</v>
      </c>
      <c r="J1063" s="3">
        <v>131541</v>
      </c>
      <c r="K1063" s="3">
        <v>1183869</v>
      </c>
      <c r="L1063" s="3">
        <v>720667</v>
      </c>
      <c r="M1063" s="3">
        <v>463202</v>
      </c>
      <c r="N1063" s="4">
        <v>2</v>
      </c>
    </row>
    <row r="1064" spans="1:14" x14ac:dyDescent="0.25">
      <c r="A1064" s="2">
        <v>5</v>
      </c>
      <c r="B1064" s="1" t="s">
        <v>65</v>
      </c>
      <c r="C1064" s="1" t="s">
        <v>66</v>
      </c>
      <c r="D1064" s="1" t="s">
        <v>67</v>
      </c>
      <c r="E1064" s="11" t="s">
        <v>46</v>
      </c>
      <c r="F1064" s="12">
        <v>45809</v>
      </c>
      <c r="G1064" s="1" t="s">
        <v>16</v>
      </c>
      <c r="H1064" s="1" t="s">
        <v>20</v>
      </c>
      <c r="I1064" s="2">
        <v>3</v>
      </c>
      <c r="J1064" s="3">
        <v>46990</v>
      </c>
      <c r="K1064" s="3">
        <v>140970</v>
      </c>
      <c r="L1064" s="3">
        <v>79790</v>
      </c>
      <c r="M1064" s="3">
        <v>61180</v>
      </c>
      <c r="N1064" s="4">
        <v>4</v>
      </c>
    </row>
    <row r="1065" spans="1:14" x14ac:dyDescent="0.25">
      <c r="A1065" s="2">
        <v>5</v>
      </c>
      <c r="B1065" s="1" t="s">
        <v>65</v>
      </c>
      <c r="C1065" s="1" t="s">
        <v>66</v>
      </c>
      <c r="D1065" s="1" t="s">
        <v>68</v>
      </c>
      <c r="E1065" s="11" t="s">
        <v>46</v>
      </c>
      <c r="F1065" s="12">
        <v>45809</v>
      </c>
      <c r="G1065" s="1" t="s">
        <v>16</v>
      </c>
      <c r="H1065" s="1" t="s">
        <v>21</v>
      </c>
      <c r="I1065" s="2">
        <v>2</v>
      </c>
      <c r="J1065" s="3">
        <v>133557</v>
      </c>
      <c r="K1065" s="3">
        <v>267114</v>
      </c>
      <c r="L1065" s="3">
        <v>184176</v>
      </c>
      <c r="M1065" s="3">
        <v>82938</v>
      </c>
      <c r="N1065" s="4">
        <v>14</v>
      </c>
    </row>
    <row r="1066" spans="1:14" x14ac:dyDescent="0.25">
      <c r="A1066" s="2">
        <v>5</v>
      </c>
      <c r="B1066" s="1" t="s">
        <v>65</v>
      </c>
      <c r="C1066" s="1" t="s">
        <v>66</v>
      </c>
      <c r="D1066" s="1" t="s">
        <v>68</v>
      </c>
      <c r="E1066" s="11" t="s">
        <v>46</v>
      </c>
      <c r="F1066" s="12">
        <v>45809</v>
      </c>
      <c r="G1066" s="1" t="s">
        <v>22</v>
      </c>
      <c r="H1066" s="1" t="s">
        <v>23</v>
      </c>
      <c r="I1066" s="2">
        <v>10</v>
      </c>
      <c r="J1066" s="3">
        <v>32360</v>
      </c>
      <c r="K1066" s="3">
        <v>323600</v>
      </c>
      <c r="L1066" s="3">
        <v>198039</v>
      </c>
      <c r="M1066" s="3">
        <v>125561</v>
      </c>
      <c r="N1066" s="4">
        <v>5</v>
      </c>
    </row>
    <row r="1067" spans="1:14" x14ac:dyDescent="0.25">
      <c r="A1067" s="2">
        <v>5</v>
      </c>
      <c r="B1067" s="1" t="s">
        <v>65</v>
      </c>
      <c r="C1067" s="1" t="s">
        <v>66</v>
      </c>
      <c r="D1067" s="1" t="s">
        <v>68</v>
      </c>
      <c r="E1067" s="11" t="s">
        <v>46</v>
      </c>
      <c r="F1067" s="12">
        <v>45809</v>
      </c>
      <c r="G1067" s="1" t="s">
        <v>22</v>
      </c>
      <c r="H1067" s="1" t="s">
        <v>24</v>
      </c>
      <c r="I1067" s="2">
        <v>9</v>
      </c>
      <c r="J1067" s="3">
        <v>148442</v>
      </c>
      <c r="K1067" s="3">
        <v>1335978</v>
      </c>
      <c r="L1067" s="3">
        <v>643044</v>
      </c>
      <c r="M1067" s="3">
        <v>692934</v>
      </c>
      <c r="N1067" s="4">
        <v>11</v>
      </c>
    </row>
    <row r="1068" spans="1:14" x14ac:dyDescent="0.25">
      <c r="A1068" s="2">
        <v>5</v>
      </c>
      <c r="B1068" s="1" t="s">
        <v>65</v>
      </c>
      <c r="C1068" s="1" t="s">
        <v>66</v>
      </c>
      <c r="D1068" s="1" t="s">
        <v>68</v>
      </c>
      <c r="E1068" s="11" t="s">
        <v>46</v>
      </c>
      <c r="F1068" s="12">
        <v>45809</v>
      </c>
      <c r="G1068" s="1" t="s">
        <v>22</v>
      </c>
      <c r="H1068" s="1" t="s">
        <v>25</v>
      </c>
      <c r="I1068" s="2">
        <v>2</v>
      </c>
      <c r="J1068" s="3">
        <v>49084</v>
      </c>
      <c r="K1068" s="3">
        <v>98168</v>
      </c>
      <c r="L1068" s="3">
        <v>44393</v>
      </c>
      <c r="M1068" s="3">
        <v>53775</v>
      </c>
      <c r="N1068" s="4">
        <v>2</v>
      </c>
    </row>
    <row r="1069" spans="1:14" x14ac:dyDescent="0.25">
      <c r="A1069" s="2">
        <v>5</v>
      </c>
      <c r="B1069" s="1" t="s">
        <v>65</v>
      </c>
      <c r="C1069" s="1" t="s">
        <v>66</v>
      </c>
      <c r="D1069" s="1" t="s">
        <v>68</v>
      </c>
      <c r="E1069" s="11" t="s">
        <v>46</v>
      </c>
      <c r="F1069" s="12">
        <v>45809</v>
      </c>
      <c r="G1069" s="1" t="s">
        <v>22</v>
      </c>
      <c r="H1069" s="1" t="s">
        <v>26</v>
      </c>
      <c r="I1069" s="2">
        <v>10</v>
      </c>
      <c r="J1069" s="3">
        <v>82260</v>
      </c>
      <c r="K1069" s="3">
        <v>822600</v>
      </c>
      <c r="L1069" s="3">
        <v>562182</v>
      </c>
      <c r="M1069" s="3">
        <v>260418</v>
      </c>
      <c r="N1069" s="4">
        <v>5</v>
      </c>
    </row>
    <row r="1070" spans="1:14" x14ac:dyDescent="0.25">
      <c r="A1070" s="2">
        <v>5</v>
      </c>
      <c r="B1070" s="1" t="s">
        <v>65</v>
      </c>
      <c r="C1070" s="1" t="s">
        <v>66</v>
      </c>
      <c r="D1070" s="1" t="s">
        <v>68</v>
      </c>
      <c r="E1070" s="11" t="s">
        <v>46</v>
      </c>
      <c r="F1070" s="12">
        <v>45809</v>
      </c>
      <c r="G1070" s="1" t="s">
        <v>27</v>
      </c>
      <c r="H1070" s="1" t="s">
        <v>28</v>
      </c>
      <c r="I1070" s="2">
        <v>19</v>
      </c>
      <c r="J1070" s="3">
        <v>143439</v>
      </c>
      <c r="K1070" s="3">
        <v>2725341</v>
      </c>
      <c r="L1070" s="3">
        <v>1095599</v>
      </c>
      <c r="M1070" s="3">
        <v>1629742</v>
      </c>
      <c r="N1070" s="4">
        <v>7</v>
      </c>
    </row>
    <row r="1071" spans="1:14" x14ac:dyDescent="0.25">
      <c r="A1071" s="2">
        <v>5</v>
      </c>
      <c r="B1071" s="1" t="s">
        <v>65</v>
      </c>
      <c r="C1071" s="1" t="s">
        <v>66</v>
      </c>
      <c r="D1071" s="1" t="s">
        <v>68</v>
      </c>
      <c r="E1071" s="11" t="s">
        <v>46</v>
      </c>
      <c r="F1071" s="12">
        <v>45809</v>
      </c>
      <c r="G1071" s="1" t="s">
        <v>27</v>
      </c>
      <c r="H1071" s="1" t="s">
        <v>29</v>
      </c>
      <c r="I1071" s="2">
        <v>4</v>
      </c>
      <c r="J1071" s="3">
        <v>143489</v>
      </c>
      <c r="K1071" s="3">
        <v>573956</v>
      </c>
      <c r="L1071" s="3">
        <v>293903</v>
      </c>
      <c r="M1071" s="3">
        <v>280053</v>
      </c>
      <c r="N1071" s="4">
        <v>12</v>
      </c>
    </row>
    <row r="1072" spans="1:14" x14ac:dyDescent="0.25">
      <c r="A1072" s="2">
        <v>5</v>
      </c>
      <c r="B1072" s="1" t="s">
        <v>65</v>
      </c>
      <c r="C1072" s="1" t="s">
        <v>66</v>
      </c>
      <c r="D1072" s="1" t="s">
        <v>68</v>
      </c>
      <c r="E1072" s="11" t="s">
        <v>46</v>
      </c>
      <c r="F1072" s="12">
        <v>45809</v>
      </c>
      <c r="G1072" s="1" t="s">
        <v>27</v>
      </c>
      <c r="H1072" s="1" t="s">
        <v>30</v>
      </c>
      <c r="I1072" s="2">
        <v>1</v>
      </c>
      <c r="J1072" s="3">
        <v>80272</v>
      </c>
      <c r="K1072" s="3">
        <v>80272</v>
      </c>
      <c r="L1072" s="3">
        <v>41394</v>
      </c>
      <c r="M1072" s="3">
        <v>38878</v>
      </c>
      <c r="N1072" s="4">
        <v>6</v>
      </c>
    </row>
    <row r="1073" spans="1:14" x14ac:dyDescent="0.25">
      <c r="A1073" s="2">
        <v>5</v>
      </c>
      <c r="B1073" s="1" t="s">
        <v>65</v>
      </c>
      <c r="C1073" s="1" t="s">
        <v>66</v>
      </c>
      <c r="D1073" s="1" t="s">
        <v>67</v>
      </c>
      <c r="E1073" s="11" t="s">
        <v>46</v>
      </c>
      <c r="F1073" s="12">
        <v>45809</v>
      </c>
      <c r="G1073" s="1" t="s">
        <v>27</v>
      </c>
      <c r="H1073" s="1" t="s">
        <v>31</v>
      </c>
      <c r="I1073" s="2">
        <v>17</v>
      </c>
      <c r="J1073" s="3">
        <v>141992</v>
      </c>
      <c r="K1073" s="3">
        <v>2413864</v>
      </c>
      <c r="L1073" s="3">
        <v>1291601</v>
      </c>
      <c r="M1073" s="3">
        <v>1122263</v>
      </c>
      <c r="N1073" s="4">
        <v>0</v>
      </c>
    </row>
    <row r="1074" spans="1:14" x14ac:dyDescent="0.25">
      <c r="A1074" s="2">
        <v>5</v>
      </c>
      <c r="B1074" s="1" t="s">
        <v>65</v>
      </c>
      <c r="C1074" s="1" t="s">
        <v>66</v>
      </c>
      <c r="D1074" s="1" t="s">
        <v>68</v>
      </c>
      <c r="E1074" s="11" t="s">
        <v>46</v>
      </c>
      <c r="F1074" s="12">
        <v>45809</v>
      </c>
      <c r="G1074" s="1" t="s">
        <v>32</v>
      </c>
      <c r="H1074" s="1" t="s">
        <v>33</v>
      </c>
      <c r="I1074" s="2">
        <v>10</v>
      </c>
      <c r="J1074" s="3">
        <v>16683</v>
      </c>
      <c r="K1074" s="3">
        <v>166830</v>
      </c>
      <c r="L1074" s="3">
        <v>103053</v>
      </c>
      <c r="M1074" s="3">
        <v>63777</v>
      </c>
      <c r="N1074" s="4">
        <v>13</v>
      </c>
    </row>
    <row r="1075" spans="1:14" x14ac:dyDescent="0.25">
      <c r="A1075" s="2">
        <v>5</v>
      </c>
      <c r="B1075" s="1" t="s">
        <v>65</v>
      </c>
      <c r="C1075" s="1" t="s">
        <v>66</v>
      </c>
      <c r="D1075" s="1" t="s">
        <v>68</v>
      </c>
      <c r="E1075" s="11" t="s">
        <v>46</v>
      </c>
      <c r="F1075" s="12">
        <v>45809</v>
      </c>
      <c r="G1075" s="1" t="s">
        <v>32</v>
      </c>
      <c r="H1075" s="1" t="s">
        <v>34</v>
      </c>
      <c r="I1075" s="2">
        <v>10</v>
      </c>
      <c r="J1075" s="3">
        <v>12071</v>
      </c>
      <c r="K1075" s="3">
        <v>120710</v>
      </c>
      <c r="L1075" s="3">
        <v>72635</v>
      </c>
      <c r="M1075" s="3">
        <v>48075</v>
      </c>
      <c r="N1075" s="4">
        <v>5</v>
      </c>
    </row>
    <row r="1076" spans="1:14" x14ac:dyDescent="0.25">
      <c r="A1076" s="2">
        <v>5</v>
      </c>
      <c r="B1076" s="1" t="s">
        <v>65</v>
      </c>
      <c r="C1076" s="1" t="s">
        <v>66</v>
      </c>
      <c r="D1076" s="1" t="s">
        <v>67</v>
      </c>
      <c r="E1076" s="11" t="s">
        <v>46</v>
      </c>
      <c r="F1076" s="12">
        <v>45809</v>
      </c>
      <c r="G1076" s="1" t="s">
        <v>32</v>
      </c>
      <c r="H1076" s="1" t="s">
        <v>35</v>
      </c>
      <c r="I1076" s="2">
        <v>17</v>
      </c>
      <c r="J1076" s="3">
        <v>9937</v>
      </c>
      <c r="K1076" s="3">
        <v>168929</v>
      </c>
      <c r="L1076" s="3">
        <v>67993</v>
      </c>
      <c r="M1076" s="3">
        <v>100936</v>
      </c>
      <c r="N1076" s="4">
        <v>5</v>
      </c>
    </row>
    <row r="1077" spans="1:14" x14ac:dyDescent="0.25">
      <c r="A1077" s="2">
        <v>5</v>
      </c>
      <c r="B1077" s="1" t="s">
        <v>65</v>
      </c>
      <c r="C1077" s="1" t="s">
        <v>66</v>
      </c>
      <c r="D1077" s="1" t="s">
        <v>67</v>
      </c>
      <c r="E1077" s="11" t="s">
        <v>46</v>
      </c>
      <c r="F1077" s="12">
        <v>45809</v>
      </c>
      <c r="G1077" s="1" t="s">
        <v>32</v>
      </c>
      <c r="H1077" s="1" t="s">
        <v>36</v>
      </c>
      <c r="I1077" s="2">
        <v>18</v>
      </c>
      <c r="J1077" s="3">
        <v>8490</v>
      </c>
      <c r="K1077" s="3">
        <v>152820</v>
      </c>
      <c r="L1077" s="3">
        <v>101933</v>
      </c>
      <c r="M1077" s="3">
        <v>50887</v>
      </c>
      <c r="N1077" s="4">
        <v>4</v>
      </c>
    </row>
    <row r="1078" spans="1:14" x14ac:dyDescent="0.25">
      <c r="A1078" s="2">
        <v>5</v>
      </c>
      <c r="B1078" s="1" t="s">
        <v>65</v>
      </c>
      <c r="C1078" s="1" t="s">
        <v>66</v>
      </c>
      <c r="D1078" s="1" t="s">
        <v>67</v>
      </c>
      <c r="E1078" s="11" t="s">
        <v>46</v>
      </c>
      <c r="F1078" s="12">
        <v>45809</v>
      </c>
      <c r="G1078" s="1" t="s">
        <v>37</v>
      </c>
      <c r="H1078" s="1" t="s">
        <v>38</v>
      </c>
      <c r="I1078" s="2">
        <v>15</v>
      </c>
      <c r="J1078" s="3">
        <v>80686</v>
      </c>
      <c r="K1078" s="3">
        <v>1210290</v>
      </c>
      <c r="L1078" s="3">
        <v>780849</v>
      </c>
      <c r="M1078" s="3">
        <v>429441</v>
      </c>
      <c r="N1078" s="4">
        <v>10</v>
      </c>
    </row>
    <row r="1079" spans="1:14" x14ac:dyDescent="0.25">
      <c r="A1079" s="2">
        <v>5</v>
      </c>
      <c r="B1079" s="1" t="s">
        <v>65</v>
      </c>
      <c r="C1079" s="1" t="s">
        <v>66</v>
      </c>
      <c r="D1079" s="1" t="s">
        <v>67</v>
      </c>
      <c r="E1079" s="11" t="s">
        <v>46</v>
      </c>
      <c r="F1079" s="12">
        <v>45809</v>
      </c>
      <c r="G1079" s="1" t="s">
        <v>37</v>
      </c>
      <c r="H1079" s="1" t="s">
        <v>39</v>
      </c>
      <c r="I1079" s="2">
        <v>9</v>
      </c>
      <c r="J1079" s="3">
        <v>110009</v>
      </c>
      <c r="K1079" s="3">
        <v>990081</v>
      </c>
      <c r="L1079" s="3">
        <v>691946</v>
      </c>
      <c r="M1079" s="3">
        <v>298135</v>
      </c>
      <c r="N1079" s="4">
        <v>11</v>
      </c>
    </row>
    <row r="1080" spans="1:14" x14ac:dyDescent="0.25">
      <c r="A1080" s="2">
        <v>5</v>
      </c>
      <c r="B1080" s="1" t="s">
        <v>65</v>
      </c>
      <c r="C1080" s="1" t="s">
        <v>66</v>
      </c>
      <c r="D1080" s="1" t="s">
        <v>68</v>
      </c>
      <c r="E1080" s="11" t="s">
        <v>46</v>
      </c>
      <c r="F1080" s="12">
        <v>45809</v>
      </c>
      <c r="G1080" s="1" t="s">
        <v>37</v>
      </c>
      <c r="H1080" s="1" t="s">
        <v>40</v>
      </c>
      <c r="I1080" s="2">
        <v>17</v>
      </c>
      <c r="J1080" s="3">
        <v>24138</v>
      </c>
      <c r="K1080" s="3">
        <v>410346</v>
      </c>
      <c r="L1080" s="3">
        <v>242640</v>
      </c>
      <c r="M1080" s="3">
        <v>167706</v>
      </c>
      <c r="N1080" s="4">
        <v>9</v>
      </c>
    </row>
    <row r="1081" spans="1:14" x14ac:dyDescent="0.25">
      <c r="A1081" s="2">
        <v>5</v>
      </c>
      <c r="B1081" s="1" t="s">
        <v>65</v>
      </c>
      <c r="C1081" s="1" t="s">
        <v>66</v>
      </c>
      <c r="D1081" s="1" t="s">
        <v>68</v>
      </c>
      <c r="E1081" s="11" t="s">
        <v>46</v>
      </c>
      <c r="F1081" s="12">
        <v>45809</v>
      </c>
      <c r="G1081" s="1" t="s">
        <v>37</v>
      </c>
      <c r="H1081" s="1" t="s">
        <v>41</v>
      </c>
      <c r="I1081" s="2">
        <v>18</v>
      </c>
      <c r="J1081" s="3">
        <v>30451</v>
      </c>
      <c r="K1081" s="3">
        <v>548118</v>
      </c>
      <c r="L1081" s="3">
        <v>252796</v>
      </c>
      <c r="M1081" s="3">
        <v>295322</v>
      </c>
      <c r="N1081" s="4">
        <v>6</v>
      </c>
    </row>
    <row r="1082" spans="1:14" x14ac:dyDescent="0.25">
      <c r="A1082" s="2">
        <v>5</v>
      </c>
      <c r="B1082" s="1" t="s">
        <v>65</v>
      </c>
      <c r="C1082" s="1" t="s">
        <v>66</v>
      </c>
      <c r="D1082" s="1" t="s">
        <v>67</v>
      </c>
      <c r="E1082" s="11" t="s">
        <v>47</v>
      </c>
      <c r="F1082" s="12">
        <v>45839</v>
      </c>
      <c r="G1082" s="1" t="s">
        <v>16</v>
      </c>
      <c r="H1082" s="1" t="s">
        <v>17</v>
      </c>
      <c r="I1082" s="2">
        <v>17</v>
      </c>
      <c r="J1082" s="3">
        <v>63764</v>
      </c>
      <c r="K1082" s="3">
        <v>1083988</v>
      </c>
      <c r="L1082" s="3">
        <v>718945</v>
      </c>
      <c r="M1082" s="3">
        <v>365043</v>
      </c>
      <c r="N1082" s="4">
        <v>3</v>
      </c>
    </row>
    <row r="1083" spans="1:14" x14ac:dyDescent="0.25">
      <c r="A1083" s="2">
        <v>5</v>
      </c>
      <c r="B1083" s="1" t="s">
        <v>65</v>
      </c>
      <c r="C1083" s="1" t="s">
        <v>66</v>
      </c>
      <c r="D1083" s="1" t="s">
        <v>68</v>
      </c>
      <c r="E1083" s="11" t="s">
        <v>47</v>
      </c>
      <c r="F1083" s="12">
        <v>45839</v>
      </c>
      <c r="G1083" s="1" t="s">
        <v>16</v>
      </c>
      <c r="H1083" s="1" t="s">
        <v>19</v>
      </c>
      <c r="I1083" s="2">
        <v>15</v>
      </c>
      <c r="J1083" s="3">
        <v>123423</v>
      </c>
      <c r="K1083" s="3">
        <v>1851345</v>
      </c>
      <c r="L1083" s="3">
        <v>878487</v>
      </c>
      <c r="M1083" s="3">
        <v>972858</v>
      </c>
      <c r="N1083" s="4">
        <v>8</v>
      </c>
    </row>
    <row r="1084" spans="1:14" x14ac:dyDescent="0.25">
      <c r="A1084" s="2">
        <v>5</v>
      </c>
      <c r="B1084" s="1" t="s">
        <v>65</v>
      </c>
      <c r="C1084" s="1" t="s">
        <v>66</v>
      </c>
      <c r="D1084" s="1" t="s">
        <v>68</v>
      </c>
      <c r="E1084" s="11" t="s">
        <v>47</v>
      </c>
      <c r="F1084" s="12">
        <v>45839</v>
      </c>
      <c r="G1084" s="1" t="s">
        <v>16</v>
      </c>
      <c r="H1084" s="1" t="s">
        <v>20</v>
      </c>
      <c r="I1084" s="2">
        <v>14</v>
      </c>
      <c r="J1084" s="3">
        <v>122468</v>
      </c>
      <c r="K1084" s="3">
        <v>1714552</v>
      </c>
      <c r="L1084" s="3">
        <v>725501</v>
      </c>
      <c r="M1084" s="3">
        <v>989051</v>
      </c>
      <c r="N1084" s="4">
        <v>1</v>
      </c>
    </row>
    <row r="1085" spans="1:14" x14ac:dyDescent="0.25">
      <c r="A1085" s="2">
        <v>5</v>
      </c>
      <c r="B1085" s="1" t="s">
        <v>65</v>
      </c>
      <c r="C1085" s="1" t="s">
        <v>66</v>
      </c>
      <c r="D1085" s="1" t="s">
        <v>68</v>
      </c>
      <c r="E1085" s="11" t="s">
        <v>47</v>
      </c>
      <c r="F1085" s="12">
        <v>45839</v>
      </c>
      <c r="G1085" s="1" t="s">
        <v>16</v>
      </c>
      <c r="H1085" s="1" t="s">
        <v>21</v>
      </c>
      <c r="I1085" s="2">
        <v>8</v>
      </c>
      <c r="J1085" s="3">
        <v>30442</v>
      </c>
      <c r="K1085" s="3">
        <v>243536</v>
      </c>
      <c r="L1085" s="3">
        <v>130944</v>
      </c>
      <c r="M1085" s="3">
        <v>112592</v>
      </c>
      <c r="N1085" s="4">
        <v>2</v>
      </c>
    </row>
    <row r="1086" spans="1:14" x14ac:dyDescent="0.25">
      <c r="A1086" s="2">
        <v>5</v>
      </c>
      <c r="B1086" s="1" t="s">
        <v>65</v>
      </c>
      <c r="C1086" s="1" t="s">
        <v>66</v>
      </c>
      <c r="D1086" s="1" t="s">
        <v>67</v>
      </c>
      <c r="E1086" s="11" t="s">
        <v>47</v>
      </c>
      <c r="F1086" s="12">
        <v>45839</v>
      </c>
      <c r="G1086" s="1" t="s">
        <v>22</v>
      </c>
      <c r="H1086" s="1" t="s">
        <v>23</v>
      </c>
      <c r="I1086" s="2">
        <v>1</v>
      </c>
      <c r="J1086" s="3">
        <v>106346</v>
      </c>
      <c r="K1086" s="3">
        <v>106346</v>
      </c>
      <c r="L1086" s="3">
        <v>61514</v>
      </c>
      <c r="M1086" s="3">
        <v>44832</v>
      </c>
      <c r="N1086" s="4">
        <v>13</v>
      </c>
    </row>
    <row r="1087" spans="1:14" x14ac:dyDescent="0.25">
      <c r="A1087" s="2">
        <v>5</v>
      </c>
      <c r="B1087" s="1" t="s">
        <v>65</v>
      </c>
      <c r="C1087" s="1" t="s">
        <v>66</v>
      </c>
      <c r="D1087" s="1" t="s">
        <v>68</v>
      </c>
      <c r="E1087" s="11" t="s">
        <v>47</v>
      </c>
      <c r="F1087" s="12">
        <v>45839</v>
      </c>
      <c r="G1087" s="1" t="s">
        <v>22</v>
      </c>
      <c r="H1087" s="1" t="s">
        <v>24</v>
      </c>
      <c r="I1087" s="2">
        <v>16</v>
      </c>
      <c r="J1087" s="3">
        <v>136214</v>
      </c>
      <c r="K1087" s="3">
        <v>2179424</v>
      </c>
      <c r="L1087" s="3">
        <v>1419998</v>
      </c>
      <c r="M1087" s="3">
        <v>759426</v>
      </c>
      <c r="N1087" s="4">
        <v>5</v>
      </c>
    </row>
    <row r="1088" spans="1:14" x14ac:dyDescent="0.25">
      <c r="A1088" s="2">
        <v>5</v>
      </c>
      <c r="B1088" s="1" t="s">
        <v>65</v>
      </c>
      <c r="C1088" s="1" t="s">
        <v>66</v>
      </c>
      <c r="D1088" s="1" t="s">
        <v>67</v>
      </c>
      <c r="E1088" s="11" t="s">
        <v>47</v>
      </c>
      <c r="F1088" s="12">
        <v>45839</v>
      </c>
      <c r="G1088" s="1" t="s">
        <v>22</v>
      </c>
      <c r="H1088" s="1" t="s">
        <v>25</v>
      </c>
      <c r="I1088" s="2">
        <v>19</v>
      </c>
      <c r="J1088" s="3">
        <v>25283</v>
      </c>
      <c r="K1088" s="3">
        <v>480377</v>
      </c>
      <c r="L1088" s="3">
        <v>326566</v>
      </c>
      <c r="M1088" s="3">
        <v>153811</v>
      </c>
      <c r="N1088" s="4">
        <v>12</v>
      </c>
    </row>
    <row r="1089" spans="1:14" x14ac:dyDescent="0.25">
      <c r="A1089" s="2">
        <v>5</v>
      </c>
      <c r="B1089" s="1" t="s">
        <v>65</v>
      </c>
      <c r="C1089" s="1" t="s">
        <v>66</v>
      </c>
      <c r="D1089" s="1" t="s">
        <v>68</v>
      </c>
      <c r="E1089" s="11" t="s">
        <v>47</v>
      </c>
      <c r="F1089" s="12">
        <v>45839</v>
      </c>
      <c r="G1089" s="1" t="s">
        <v>22</v>
      </c>
      <c r="H1089" s="1" t="s">
        <v>26</v>
      </c>
      <c r="I1089" s="2">
        <v>14</v>
      </c>
      <c r="J1089" s="3">
        <v>96162</v>
      </c>
      <c r="K1089" s="3">
        <v>1346268</v>
      </c>
      <c r="L1089" s="3">
        <v>787614</v>
      </c>
      <c r="M1089" s="3">
        <v>558654</v>
      </c>
      <c r="N1089" s="4">
        <v>0</v>
      </c>
    </row>
    <row r="1090" spans="1:14" x14ac:dyDescent="0.25">
      <c r="A1090" s="2">
        <v>5</v>
      </c>
      <c r="B1090" s="1" t="s">
        <v>65</v>
      </c>
      <c r="C1090" s="1" t="s">
        <v>66</v>
      </c>
      <c r="D1090" s="1" t="s">
        <v>68</v>
      </c>
      <c r="E1090" s="11" t="s">
        <v>47</v>
      </c>
      <c r="F1090" s="12">
        <v>45839</v>
      </c>
      <c r="G1090" s="1" t="s">
        <v>27</v>
      </c>
      <c r="H1090" s="1" t="s">
        <v>28</v>
      </c>
      <c r="I1090" s="2">
        <v>14</v>
      </c>
      <c r="J1090" s="3">
        <v>116007</v>
      </c>
      <c r="K1090" s="3">
        <v>1624098</v>
      </c>
      <c r="L1090" s="3">
        <v>682994</v>
      </c>
      <c r="M1090" s="3">
        <v>941104</v>
      </c>
      <c r="N1090" s="4">
        <v>9</v>
      </c>
    </row>
    <row r="1091" spans="1:14" x14ac:dyDescent="0.25">
      <c r="A1091" s="2">
        <v>5</v>
      </c>
      <c r="B1091" s="1" t="s">
        <v>65</v>
      </c>
      <c r="C1091" s="1" t="s">
        <v>66</v>
      </c>
      <c r="D1091" s="1" t="s">
        <v>67</v>
      </c>
      <c r="E1091" s="11" t="s">
        <v>47</v>
      </c>
      <c r="F1091" s="12">
        <v>45839</v>
      </c>
      <c r="G1091" s="1" t="s">
        <v>27</v>
      </c>
      <c r="H1091" s="1" t="s">
        <v>29</v>
      </c>
      <c r="I1091" s="2">
        <v>17</v>
      </c>
      <c r="J1091" s="3">
        <v>109160</v>
      </c>
      <c r="K1091" s="3">
        <v>1855720</v>
      </c>
      <c r="L1091" s="3">
        <v>857092</v>
      </c>
      <c r="M1091" s="3">
        <v>998628</v>
      </c>
      <c r="N1091" s="4">
        <v>10</v>
      </c>
    </row>
    <row r="1092" spans="1:14" x14ac:dyDescent="0.25">
      <c r="A1092" s="2">
        <v>5</v>
      </c>
      <c r="B1092" s="1" t="s">
        <v>65</v>
      </c>
      <c r="C1092" s="1" t="s">
        <v>66</v>
      </c>
      <c r="D1092" s="1" t="s">
        <v>68</v>
      </c>
      <c r="E1092" s="11" t="s">
        <v>47</v>
      </c>
      <c r="F1092" s="12">
        <v>45839</v>
      </c>
      <c r="G1092" s="1" t="s">
        <v>27</v>
      </c>
      <c r="H1092" s="1" t="s">
        <v>30</v>
      </c>
      <c r="I1092" s="2">
        <v>7</v>
      </c>
      <c r="J1092" s="3">
        <v>123792</v>
      </c>
      <c r="K1092" s="3">
        <v>866544</v>
      </c>
      <c r="L1092" s="3">
        <v>571536</v>
      </c>
      <c r="M1092" s="3">
        <v>295008</v>
      </c>
      <c r="N1092" s="4">
        <v>0</v>
      </c>
    </row>
    <row r="1093" spans="1:14" x14ac:dyDescent="0.25">
      <c r="A1093" s="2">
        <v>5</v>
      </c>
      <c r="B1093" s="1" t="s">
        <v>65</v>
      </c>
      <c r="C1093" s="1" t="s">
        <v>66</v>
      </c>
      <c r="D1093" s="1" t="s">
        <v>67</v>
      </c>
      <c r="E1093" s="11" t="s">
        <v>47</v>
      </c>
      <c r="F1093" s="12">
        <v>45839</v>
      </c>
      <c r="G1093" s="1" t="s">
        <v>27</v>
      </c>
      <c r="H1093" s="1" t="s">
        <v>31</v>
      </c>
      <c r="I1093" s="2">
        <v>5</v>
      </c>
      <c r="J1093" s="3">
        <v>106664</v>
      </c>
      <c r="K1093" s="3">
        <v>533320</v>
      </c>
      <c r="L1093" s="3">
        <v>218929</v>
      </c>
      <c r="M1093" s="3">
        <v>314391</v>
      </c>
      <c r="N1093" s="4">
        <v>10</v>
      </c>
    </row>
    <row r="1094" spans="1:14" x14ac:dyDescent="0.25">
      <c r="A1094" s="2">
        <v>5</v>
      </c>
      <c r="B1094" s="1" t="s">
        <v>65</v>
      </c>
      <c r="C1094" s="1" t="s">
        <v>66</v>
      </c>
      <c r="D1094" s="1" t="s">
        <v>67</v>
      </c>
      <c r="E1094" s="11" t="s">
        <v>47</v>
      </c>
      <c r="F1094" s="12">
        <v>45839</v>
      </c>
      <c r="G1094" s="1" t="s">
        <v>32</v>
      </c>
      <c r="H1094" s="1" t="s">
        <v>33</v>
      </c>
      <c r="I1094" s="2">
        <v>2</v>
      </c>
      <c r="J1094" s="3">
        <v>13636</v>
      </c>
      <c r="K1094" s="3">
        <v>27272</v>
      </c>
      <c r="L1094" s="3">
        <v>18057</v>
      </c>
      <c r="M1094" s="3">
        <v>9215</v>
      </c>
      <c r="N1094" s="4">
        <v>10</v>
      </c>
    </row>
    <row r="1095" spans="1:14" x14ac:dyDescent="0.25">
      <c r="A1095" s="2">
        <v>5</v>
      </c>
      <c r="B1095" s="1" t="s">
        <v>65</v>
      </c>
      <c r="C1095" s="1" t="s">
        <v>66</v>
      </c>
      <c r="D1095" s="1" t="s">
        <v>67</v>
      </c>
      <c r="E1095" s="11" t="s">
        <v>47</v>
      </c>
      <c r="F1095" s="12">
        <v>45839</v>
      </c>
      <c r="G1095" s="1" t="s">
        <v>32</v>
      </c>
      <c r="H1095" s="1" t="s">
        <v>34</v>
      </c>
      <c r="I1095" s="2">
        <v>6</v>
      </c>
      <c r="J1095" s="3">
        <v>7041</v>
      </c>
      <c r="K1095" s="3">
        <v>42246</v>
      </c>
      <c r="L1095" s="3">
        <v>23228</v>
      </c>
      <c r="M1095" s="3">
        <v>19018</v>
      </c>
      <c r="N1095" s="4">
        <v>1</v>
      </c>
    </row>
    <row r="1096" spans="1:14" x14ac:dyDescent="0.25">
      <c r="A1096" s="2">
        <v>5</v>
      </c>
      <c r="B1096" s="1" t="s">
        <v>65</v>
      </c>
      <c r="C1096" s="1" t="s">
        <v>66</v>
      </c>
      <c r="D1096" s="1" t="s">
        <v>67</v>
      </c>
      <c r="E1096" s="11" t="s">
        <v>47</v>
      </c>
      <c r="F1096" s="12">
        <v>45839</v>
      </c>
      <c r="G1096" s="1" t="s">
        <v>32</v>
      </c>
      <c r="H1096" s="1" t="s">
        <v>35</v>
      </c>
      <c r="I1096" s="2">
        <v>11</v>
      </c>
      <c r="J1096" s="3">
        <v>10668</v>
      </c>
      <c r="K1096" s="3">
        <v>117348</v>
      </c>
      <c r="L1096" s="3">
        <v>74539</v>
      </c>
      <c r="M1096" s="3">
        <v>42809</v>
      </c>
      <c r="N1096" s="4">
        <v>1</v>
      </c>
    </row>
    <row r="1097" spans="1:14" x14ac:dyDescent="0.25">
      <c r="A1097" s="2">
        <v>5</v>
      </c>
      <c r="B1097" s="1" t="s">
        <v>65</v>
      </c>
      <c r="C1097" s="1" t="s">
        <v>66</v>
      </c>
      <c r="D1097" s="1" t="s">
        <v>68</v>
      </c>
      <c r="E1097" s="11" t="s">
        <v>47</v>
      </c>
      <c r="F1097" s="12">
        <v>45839</v>
      </c>
      <c r="G1097" s="1" t="s">
        <v>32</v>
      </c>
      <c r="H1097" s="1" t="s">
        <v>36</v>
      </c>
      <c r="I1097" s="2">
        <v>2</v>
      </c>
      <c r="J1097" s="3">
        <v>5062</v>
      </c>
      <c r="K1097" s="3">
        <v>10124</v>
      </c>
      <c r="L1097" s="3">
        <v>4937</v>
      </c>
      <c r="M1097" s="3">
        <v>5187</v>
      </c>
      <c r="N1097" s="4">
        <v>10</v>
      </c>
    </row>
    <row r="1098" spans="1:14" x14ac:dyDescent="0.25">
      <c r="A1098" s="2">
        <v>5</v>
      </c>
      <c r="B1098" s="1" t="s">
        <v>65</v>
      </c>
      <c r="C1098" s="1" t="s">
        <v>66</v>
      </c>
      <c r="D1098" s="1" t="s">
        <v>68</v>
      </c>
      <c r="E1098" s="11" t="s">
        <v>47</v>
      </c>
      <c r="F1098" s="12">
        <v>45839</v>
      </c>
      <c r="G1098" s="1" t="s">
        <v>37</v>
      </c>
      <c r="H1098" s="1" t="s">
        <v>38</v>
      </c>
      <c r="I1098" s="2">
        <v>13</v>
      </c>
      <c r="J1098" s="3">
        <v>108835</v>
      </c>
      <c r="K1098" s="3">
        <v>1414855</v>
      </c>
      <c r="L1098" s="3">
        <v>816470</v>
      </c>
      <c r="M1098" s="3">
        <v>598385</v>
      </c>
      <c r="N1098" s="4">
        <v>6</v>
      </c>
    </row>
    <row r="1099" spans="1:14" x14ac:dyDescent="0.25">
      <c r="A1099" s="2">
        <v>5</v>
      </c>
      <c r="B1099" s="1" t="s">
        <v>65</v>
      </c>
      <c r="C1099" s="1" t="s">
        <v>66</v>
      </c>
      <c r="D1099" s="1" t="s">
        <v>68</v>
      </c>
      <c r="E1099" s="11" t="s">
        <v>47</v>
      </c>
      <c r="F1099" s="12">
        <v>45839</v>
      </c>
      <c r="G1099" s="1" t="s">
        <v>37</v>
      </c>
      <c r="H1099" s="1" t="s">
        <v>39</v>
      </c>
      <c r="I1099" s="2">
        <v>11</v>
      </c>
      <c r="J1099" s="3">
        <v>49493</v>
      </c>
      <c r="K1099" s="3">
        <v>544423</v>
      </c>
      <c r="L1099" s="3">
        <v>222393</v>
      </c>
      <c r="M1099" s="3">
        <v>322030</v>
      </c>
      <c r="N1099" s="4">
        <v>11</v>
      </c>
    </row>
    <row r="1100" spans="1:14" x14ac:dyDescent="0.25">
      <c r="A1100" s="2">
        <v>5</v>
      </c>
      <c r="B1100" s="1" t="s">
        <v>65</v>
      </c>
      <c r="C1100" s="1" t="s">
        <v>66</v>
      </c>
      <c r="D1100" s="1" t="s">
        <v>67</v>
      </c>
      <c r="E1100" s="11" t="s">
        <v>47</v>
      </c>
      <c r="F1100" s="12">
        <v>45839</v>
      </c>
      <c r="G1100" s="1" t="s">
        <v>37</v>
      </c>
      <c r="H1100" s="1" t="s">
        <v>40</v>
      </c>
      <c r="I1100" s="2">
        <v>15</v>
      </c>
      <c r="J1100" s="3">
        <v>27296</v>
      </c>
      <c r="K1100" s="3">
        <v>409440</v>
      </c>
      <c r="L1100" s="3">
        <v>257673</v>
      </c>
      <c r="M1100" s="3">
        <v>151767</v>
      </c>
      <c r="N1100" s="4">
        <v>13</v>
      </c>
    </row>
    <row r="1101" spans="1:14" x14ac:dyDescent="0.25">
      <c r="A1101" s="2">
        <v>5</v>
      </c>
      <c r="B1101" s="1" t="s">
        <v>65</v>
      </c>
      <c r="C1101" s="1" t="s">
        <v>66</v>
      </c>
      <c r="D1101" s="1" t="s">
        <v>67</v>
      </c>
      <c r="E1101" s="11" t="s">
        <v>47</v>
      </c>
      <c r="F1101" s="12">
        <v>45839</v>
      </c>
      <c r="G1101" s="1" t="s">
        <v>37</v>
      </c>
      <c r="H1101" s="1" t="s">
        <v>41</v>
      </c>
      <c r="I1101" s="2">
        <v>6</v>
      </c>
      <c r="J1101" s="3">
        <v>115985</v>
      </c>
      <c r="K1101" s="3">
        <v>695910</v>
      </c>
      <c r="L1101" s="3">
        <v>363705</v>
      </c>
      <c r="M1101" s="3">
        <v>332205</v>
      </c>
      <c r="N1101" s="4">
        <v>5</v>
      </c>
    </row>
    <row r="1102" spans="1:14" x14ac:dyDescent="0.25">
      <c r="A1102" s="2">
        <v>5</v>
      </c>
      <c r="B1102" s="1" t="s">
        <v>65</v>
      </c>
      <c r="C1102" s="1" t="s">
        <v>66</v>
      </c>
      <c r="D1102" s="1" t="s">
        <v>67</v>
      </c>
      <c r="E1102" s="11" t="s">
        <v>48</v>
      </c>
      <c r="F1102" s="12">
        <v>45870</v>
      </c>
      <c r="G1102" s="1" t="s">
        <v>16</v>
      </c>
      <c r="H1102" s="1" t="s">
        <v>17</v>
      </c>
      <c r="I1102" s="2">
        <v>6</v>
      </c>
      <c r="J1102" s="3">
        <v>33652</v>
      </c>
      <c r="K1102" s="3">
        <v>201912</v>
      </c>
      <c r="L1102" s="3">
        <v>90484</v>
      </c>
      <c r="M1102" s="3">
        <v>111428</v>
      </c>
      <c r="N1102" s="4">
        <v>4</v>
      </c>
    </row>
    <row r="1103" spans="1:14" x14ac:dyDescent="0.25">
      <c r="A1103" s="2">
        <v>5</v>
      </c>
      <c r="B1103" s="1" t="s">
        <v>65</v>
      </c>
      <c r="C1103" s="1" t="s">
        <v>66</v>
      </c>
      <c r="D1103" s="1" t="s">
        <v>67</v>
      </c>
      <c r="E1103" s="11" t="s">
        <v>48</v>
      </c>
      <c r="F1103" s="12">
        <v>45870</v>
      </c>
      <c r="G1103" s="1" t="s">
        <v>16</v>
      </c>
      <c r="H1103" s="1" t="s">
        <v>19</v>
      </c>
      <c r="I1103" s="2">
        <v>17</v>
      </c>
      <c r="J1103" s="3">
        <v>55529</v>
      </c>
      <c r="K1103" s="3">
        <v>943993</v>
      </c>
      <c r="L1103" s="3">
        <v>644520</v>
      </c>
      <c r="M1103" s="3">
        <v>299473</v>
      </c>
      <c r="N1103" s="4">
        <v>1</v>
      </c>
    </row>
    <row r="1104" spans="1:14" x14ac:dyDescent="0.25">
      <c r="A1104" s="2">
        <v>5</v>
      </c>
      <c r="B1104" s="1" t="s">
        <v>65</v>
      </c>
      <c r="C1104" s="1" t="s">
        <v>66</v>
      </c>
      <c r="D1104" s="1" t="s">
        <v>67</v>
      </c>
      <c r="E1104" s="11" t="s">
        <v>48</v>
      </c>
      <c r="F1104" s="12">
        <v>45870</v>
      </c>
      <c r="G1104" s="1" t="s">
        <v>16</v>
      </c>
      <c r="H1104" s="1" t="s">
        <v>20</v>
      </c>
      <c r="I1104" s="2">
        <v>7</v>
      </c>
      <c r="J1104" s="3">
        <v>84450</v>
      </c>
      <c r="K1104" s="3">
        <v>591150</v>
      </c>
      <c r="L1104" s="3">
        <v>380841</v>
      </c>
      <c r="M1104" s="3">
        <v>210309</v>
      </c>
      <c r="N1104" s="4">
        <v>3</v>
      </c>
    </row>
    <row r="1105" spans="1:14" x14ac:dyDescent="0.25">
      <c r="A1105" s="2">
        <v>5</v>
      </c>
      <c r="B1105" s="1" t="s">
        <v>65</v>
      </c>
      <c r="C1105" s="1" t="s">
        <v>66</v>
      </c>
      <c r="D1105" s="1" t="s">
        <v>68</v>
      </c>
      <c r="E1105" s="11" t="s">
        <v>48</v>
      </c>
      <c r="F1105" s="12">
        <v>45870</v>
      </c>
      <c r="G1105" s="1" t="s">
        <v>16</v>
      </c>
      <c r="H1105" s="1" t="s">
        <v>21</v>
      </c>
      <c r="I1105" s="2">
        <v>19</v>
      </c>
      <c r="J1105" s="3">
        <v>102722</v>
      </c>
      <c r="K1105" s="3">
        <v>1951718</v>
      </c>
      <c r="L1105" s="3">
        <v>1252521</v>
      </c>
      <c r="M1105" s="3">
        <v>699197</v>
      </c>
      <c r="N1105" s="4">
        <v>0</v>
      </c>
    </row>
    <row r="1106" spans="1:14" x14ac:dyDescent="0.25">
      <c r="A1106" s="2">
        <v>5</v>
      </c>
      <c r="B1106" s="1" t="s">
        <v>65</v>
      </c>
      <c r="C1106" s="1" t="s">
        <v>66</v>
      </c>
      <c r="D1106" s="1" t="s">
        <v>67</v>
      </c>
      <c r="E1106" s="11" t="s">
        <v>48</v>
      </c>
      <c r="F1106" s="12">
        <v>45870</v>
      </c>
      <c r="G1106" s="1" t="s">
        <v>22</v>
      </c>
      <c r="H1106" s="1" t="s">
        <v>23</v>
      </c>
      <c r="I1106" s="2">
        <v>4</v>
      </c>
      <c r="J1106" s="3">
        <v>22187</v>
      </c>
      <c r="K1106" s="3">
        <v>88748</v>
      </c>
      <c r="L1106" s="3">
        <v>42154</v>
      </c>
      <c r="M1106" s="3">
        <v>46594</v>
      </c>
      <c r="N1106" s="4">
        <v>7</v>
      </c>
    </row>
    <row r="1107" spans="1:14" x14ac:dyDescent="0.25">
      <c r="A1107" s="2">
        <v>5</v>
      </c>
      <c r="B1107" s="1" t="s">
        <v>65</v>
      </c>
      <c r="C1107" s="1" t="s">
        <v>66</v>
      </c>
      <c r="D1107" s="1" t="s">
        <v>68</v>
      </c>
      <c r="E1107" s="11" t="s">
        <v>48</v>
      </c>
      <c r="F1107" s="12">
        <v>45870</v>
      </c>
      <c r="G1107" s="1" t="s">
        <v>22</v>
      </c>
      <c r="H1107" s="1" t="s">
        <v>24</v>
      </c>
      <c r="I1107" s="2">
        <v>10</v>
      </c>
      <c r="J1107" s="3">
        <v>23606</v>
      </c>
      <c r="K1107" s="3">
        <v>236060</v>
      </c>
      <c r="L1107" s="3">
        <v>112474</v>
      </c>
      <c r="M1107" s="3">
        <v>123586</v>
      </c>
      <c r="N1107" s="4">
        <v>12</v>
      </c>
    </row>
    <row r="1108" spans="1:14" x14ac:dyDescent="0.25">
      <c r="A1108" s="2">
        <v>5</v>
      </c>
      <c r="B1108" s="1" t="s">
        <v>65</v>
      </c>
      <c r="C1108" s="1" t="s">
        <v>66</v>
      </c>
      <c r="D1108" s="1" t="s">
        <v>68</v>
      </c>
      <c r="E1108" s="11" t="s">
        <v>48</v>
      </c>
      <c r="F1108" s="12">
        <v>45870</v>
      </c>
      <c r="G1108" s="1" t="s">
        <v>22</v>
      </c>
      <c r="H1108" s="1" t="s">
        <v>25</v>
      </c>
      <c r="I1108" s="2">
        <v>13</v>
      </c>
      <c r="J1108" s="3">
        <v>131926</v>
      </c>
      <c r="K1108" s="3">
        <v>1715038</v>
      </c>
      <c r="L1108" s="3">
        <v>797180</v>
      </c>
      <c r="M1108" s="3">
        <v>917858</v>
      </c>
      <c r="N1108" s="4">
        <v>6</v>
      </c>
    </row>
    <row r="1109" spans="1:14" x14ac:dyDescent="0.25">
      <c r="A1109" s="2">
        <v>5</v>
      </c>
      <c r="B1109" s="1" t="s">
        <v>65</v>
      </c>
      <c r="C1109" s="1" t="s">
        <v>66</v>
      </c>
      <c r="D1109" s="1" t="s">
        <v>68</v>
      </c>
      <c r="E1109" s="11" t="s">
        <v>48</v>
      </c>
      <c r="F1109" s="12">
        <v>45870</v>
      </c>
      <c r="G1109" s="1" t="s">
        <v>22</v>
      </c>
      <c r="H1109" s="1" t="s">
        <v>26</v>
      </c>
      <c r="I1109" s="2">
        <v>5</v>
      </c>
      <c r="J1109" s="3">
        <v>111683</v>
      </c>
      <c r="K1109" s="3">
        <v>558415</v>
      </c>
      <c r="L1109" s="3">
        <v>329277</v>
      </c>
      <c r="M1109" s="3">
        <v>229138</v>
      </c>
      <c r="N1109" s="4">
        <v>0</v>
      </c>
    </row>
    <row r="1110" spans="1:14" x14ac:dyDescent="0.25">
      <c r="A1110" s="2">
        <v>5</v>
      </c>
      <c r="B1110" s="1" t="s">
        <v>65</v>
      </c>
      <c r="C1110" s="1" t="s">
        <v>66</v>
      </c>
      <c r="D1110" s="1" t="s">
        <v>67</v>
      </c>
      <c r="E1110" s="11" t="s">
        <v>48</v>
      </c>
      <c r="F1110" s="12">
        <v>45870</v>
      </c>
      <c r="G1110" s="1" t="s">
        <v>27</v>
      </c>
      <c r="H1110" s="1" t="s">
        <v>28</v>
      </c>
      <c r="I1110" s="2">
        <v>10</v>
      </c>
      <c r="J1110" s="3">
        <v>81753</v>
      </c>
      <c r="K1110" s="3">
        <v>817530</v>
      </c>
      <c r="L1110" s="3">
        <v>557830</v>
      </c>
      <c r="M1110" s="3">
        <v>259700</v>
      </c>
      <c r="N1110" s="4">
        <v>0</v>
      </c>
    </row>
    <row r="1111" spans="1:14" x14ac:dyDescent="0.25">
      <c r="A1111" s="2">
        <v>5</v>
      </c>
      <c r="B1111" s="1" t="s">
        <v>65</v>
      </c>
      <c r="C1111" s="1" t="s">
        <v>66</v>
      </c>
      <c r="D1111" s="1" t="s">
        <v>67</v>
      </c>
      <c r="E1111" s="11" t="s">
        <v>48</v>
      </c>
      <c r="F1111" s="12">
        <v>45870</v>
      </c>
      <c r="G1111" s="1" t="s">
        <v>27</v>
      </c>
      <c r="H1111" s="1" t="s">
        <v>29</v>
      </c>
      <c r="I1111" s="2">
        <v>17</v>
      </c>
      <c r="J1111" s="3">
        <v>144116</v>
      </c>
      <c r="K1111" s="3">
        <v>2449972</v>
      </c>
      <c r="L1111" s="3">
        <v>1644096</v>
      </c>
      <c r="M1111" s="3">
        <v>805876</v>
      </c>
      <c r="N1111" s="4">
        <v>5</v>
      </c>
    </row>
    <row r="1112" spans="1:14" x14ac:dyDescent="0.25">
      <c r="A1112" s="2">
        <v>5</v>
      </c>
      <c r="B1112" s="1" t="s">
        <v>65</v>
      </c>
      <c r="C1112" s="1" t="s">
        <v>66</v>
      </c>
      <c r="D1112" s="1" t="s">
        <v>68</v>
      </c>
      <c r="E1112" s="11" t="s">
        <v>48</v>
      </c>
      <c r="F1112" s="12">
        <v>45870</v>
      </c>
      <c r="G1112" s="1" t="s">
        <v>27</v>
      </c>
      <c r="H1112" s="1" t="s">
        <v>30</v>
      </c>
      <c r="I1112" s="2">
        <v>19</v>
      </c>
      <c r="J1112" s="3">
        <v>79500</v>
      </c>
      <c r="K1112" s="3">
        <v>1510500</v>
      </c>
      <c r="L1112" s="3">
        <v>832194</v>
      </c>
      <c r="M1112" s="3">
        <v>678306</v>
      </c>
      <c r="N1112" s="4">
        <v>5</v>
      </c>
    </row>
    <row r="1113" spans="1:14" x14ac:dyDescent="0.25">
      <c r="A1113" s="2">
        <v>5</v>
      </c>
      <c r="B1113" s="1" t="s">
        <v>65</v>
      </c>
      <c r="C1113" s="1" t="s">
        <v>66</v>
      </c>
      <c r="D1113" s="1" t="s">
        <v>68</v>
      </c>
      <c r="E1113" s="11" t="s">
        <v>48</v>
      </c>
      <c r="F1113" s="12">
        <v>45870</v>
      </c>
      <c r="G1113" s="1" t="s">
        <v>27</v>
      </c>
      <c r="H1113" s="1" t="s">
        <v>31</v>
      </c>
      <c r="I1113" s="2">
        <v>9</v>
      </c>
      <c r="J1113" s="3">
        <v>112789</v>
      </c>
      <c r="K1113" s="3">
        <v>1015101</v>
      </c>
      <c r="L1113" s="3">
        <v>647985</v>
      </c>
      <c r="M1113" s="3">
        <v>367116</v>
      </c>
      <c r="N1113" s="4">
        <v>6</v>
      </c>
    </row>
    <row r="1114" spans="1:14" x14ac:dyDescent="0.25">
      <c r="A1114" s="2">
        <v>5</v>
      </c>
      <c r="B1114" s="1" t="s">
        <v>65</v>
      </c>
      <c r="C1114" s="1" t="s">
        <v>66</v>
      </c>
      <c r="D1114" s="1" t="s">
        <v>67</v>
      </c>
      <c r="E1114" s="11" t="s">
        <v>48</v>
      </c>
      <c r="F1114" s="12">
        <v>45870</v>
      </c>
      <c r="G1114" s="1" t="s">
        <v>32</v>
      </c>
      <c r="H1114" s="1" t="s">
        <v>33</v>
      </c>
      <c r="I1114" s="2">
        <v>17</v>
      </c>
      <c r="J1114" s="3">
        <v>11219</v>
      </c>
      <c r="K1114" s="3">
        <v>190723</v>
      </c>
      <c r="L1114" s="3">
        <v>125425</v>
      </c>
      <c r="M1114" s="3">
        <v>65298</v>
      </c>
      <c r="N1114" s="4">
        <v>2</v>
      </c>
    </row>
    <row r="1115" spans="1:14" x14ac:dyDescent="0.25">
      <c r="A1115" s="2">
        <v>5</v>
      </c>
      <c r="B1115" s="1" t="s">
        <v>65</v>
      </c>
      <c r="C1115" s="1" t="s">
        <v>66</v>
      </c>
      <c r="D1115" s="1" t="s">
        <v>67</v>
      </c>
      <c r="E1115" s="11" t="s">
        <v>48</v>
      </c>
      <c r="F1115" s="12">
        <v>45870</v>
      </c>
      <c r="G1115" s="1" t="s">
        <v>32</v>
      </c>
      <c r="H1115" s="1" t="s">
        <v>34</v>
      </c>
      <c r="I1115" s="2">
        <v>9</v>
      </c>
      <c r="J1115" s="3">
        <v>18596</v>
      </c>
      <c r="K1115" s="3">
        <v>167364</v>
      </c>
      <c r="L1115" s="3">
        <v>90001</v>
      </c>
      <c r="M1115" s="3">
        <v>77363</v>
      </c>
      <c r="N1115" s="4">
        <v>6</v>
      </c>
    </row>
    <row r="1116" spans="1:14" x14ac:dyDescent="0.25">
      <c r="A1116" s="2">
        <v>5</v>
      </c>
      <c r="B1116" s="1" t="s">
        <v>65</v>
      </c>
      <c r="C1116" s="1" t="s">
        <v>66</v>
      </c>
      <c r="D1116" s="1" t="s">
        <v>67</v>
      </c>
      <c r="E1116" s="11" t="s">
        <v>48</v>
      </c>
      <c r="F1116" s="12">
        <v>45870</v>
      </c>
      <c r="G1116" s="1" t="s">
        <v>32</v>
      </c>
      <c r="H1116" s="1" t="s">
        <v>35</v>
      </c>
      <c r="I1116" s="2">
        <v>13</v>
      </c>
      <c r="J1116" s="3">
        <v>11815</v>
      </c>
      <c r="K1116" s="3">
        <v>153595</v>
      </c>
      <c r="L1116" s="3">
        <v>93414</v>
      </c>
      <c r="M1116" s="3">
        <v>60181</v>
      </c>
      <c r="N1116" s="4">
        <v>14</v>
      </c>
    </row>
    <row r="1117" spans="1:14" x14ac:dyDescent="0.25">
      <c r="A1117" s="2">
        <v>5</v>
      </c>
      <c r="B1117" s="1" t="s">
        <v>65</v>
      </c>
      <c r="C1117" s="1" t="s">
        <v>66</v>
      </c>
      <c r="D1117" s="1" t="s">
        <v>68</v>
      </c>
      <c r="E1117" s="11" t="s">
        <v>48</v>
      </c>
      <c r="F1117" s="12">
        <v>45870</v>
      </c>
      <c r="G1117" s="1" t="s">
        <v>32</v>
      </c>
      <c r="H1117" s="1" t="s">
        <v>36</v>
      </c>
      <c r="I1117" s="2">
        <v>16</v>
      </c>
      <c r="J1117" s="3">
        <v>11038</v>
      </c>
      <c r="K1117" s="3">
        <v>176608</v>
      </c>
      <c r="L1117" s="3">
        <v>93404</v>
      </c>
      <c r="M1117" s="3">
        <v>83204</v>
      </c>
      <c r="N1117" s="4">
        <v>6</v>
      </c>
    </row>
    <row r="1118" spans="1:14" x14ac:dyDescent="0.25">
      <c r="A1118" s="2">
        <v>5</v>
      </c>
      <c r="B1118" s="1" t="s">
        <v>65</v>
      </c>
      <c r="C1118" s="1" t="s">
        <v>66</v>
      </c>
      <c r="D1118" s="1" t="s">
        <v>68</v>
      </c>
      <c r="E1118" s="11" t="s">
        <v>48</v>
      </c>
      <c r="F1118" s="12">
        <v>45870</v>
      </c>
      <c r="G1118" s="1" t="s">
        <v>37</v>
      </c>
      <c r="H1118" s="1" t="s">
        <v>38</v>
      </c>
      <c r="I1118" s="2">
        <v>8</v>
      </c>
      <c r="J1118" s="3">
        <v>135284</v>
      </c>
      <c r="K1118" s="3">
        <v>1082272</v>
      </c>
      <c r="L1118" s="3">
        <v>666270</v>
      </c>
      <c r="M1118" s="3">
        <v>416002</v>
      </c>
      <c r="N1118" s="4">
        <v>5</v>
      </c>
    </row>
    <row r="1119" spans="1:14" x14ac:dyDescent="0.25">
      <c r="A1119" s="2">
        <v>5</v>
      </c>
      <c r="B1119" s="1" t="s">
        <v>65</v>
      </c>
      <c r="C1119" s="1" t="s">
        <v>66</v>
      </c>
      <c r="D1119" s="1" t="s">
        <v>68</v>
      </c>
      <c r="E1119" s="11" t="s">
        <v>48</v>
      </c>
      <c r="F1119" s="12">
        <v>45870</v>
      </c>
      <c r="G1119" s="1" t="s">
        <v>37</v>
      </c>
      <c r="H1119" s="1" t="s">
        <v>39</v>
      </c>
      <c r="I1119" s="2">
        <v>12</v>
      </c>
      <c r="J1119" s="3">
        <v>64049</v>
      </c>
      <c r="K1119" s="3">
        <v>768588</v>
      </c>
      <c r="L1119" s="3">
        <v>375867</v>
      </c>
      <c r="M1119" s="3">
        <v>392721</v>
      </c>
      <c r="N1119" s="4">
        <v>5</v>
      </c>
    </row>
    <row r="1120" spans="1:14" x14ac:dyDescent="0.25">
      <c r="A1120" s="2">
        <v>5</v>
      </c>
      <c r="B1120" s="1" t="s">
        <v>65</v>
      </c>
      <c r="C1120" s="1" t="s">
        <v>66</v>
      </c>
      <c r="D1120" s="1" t="s">
        <v>67</v>
      </c>
      <c r="E1120" s="11" t="s">
        <v>48</v>
      </c>
      <c r="F1120" s="12">
        <v>45870</v>
      </c>
      <c r="G1120" s="1" t="s">
        <v>37</v>
      </c>
      <c r="H1120" s="1" t="s">
        <v>40</v>
      </c>
      <c r="I1120" s="2">
        <v>1</v>
      </c>
      <c r="J1120" s="3">
        <v>84925</v>
      </c>
      <c r="K1120" s="3">
        <v>84925</v>
      </c>
      <c r="L1120" s="3">
        <v>34457</v>
      </c>
      <c r="M1120" s="3">
        <v>50468</v>
      </c>
      <c r="N1120" s="4">
        <v>10</v>
      </c>
    </row>
    <row r="1121" spans="1:14" x14ac:dyDescent="0.25">
      <c r="A1121" s="2">
        <v>5</v>
      </c>
      <c r="B1121" s="1" t="s">
        <v>65</v>
      </c>
      <c r="C1121" s="1" t="s">
        <v>66</v>
      </c>
      <c r="D1121" s="1" t="s">
        <v>68</v>
      </c>
      <c r="E1121" s="11" t="s">
        <v>48</v>
      </c>
      <c r="F1121" s="12">
        <v>45870</v>
      </c>
      <c r="G1121" s="1" t="s">
        <v>37</v>
      </c>
      <c r="H1121" s="1" t="s">
        <v>41</v>
      </c>
      <c r="I1121" s="2">
        <v>10</v>
      </c>
      <c r="J1121" s="3">
        <v>61458</v>
      </c>
      <c r="K1121" s="3">
        <v>614580</v>
      </c>
      <c r="L1121" s="3">
        <v>290365</v>
      </c>
      <c r="M1121" s="3">
        <v>324215</v>
      </c>
      <c r="N1121" s="4">
        <v>9</v>
      </c>
    </row>
    <row r="1122" spans="1:14" x14ac:dyDescent="0.25">
      <c r="A1122" s="2">
        <v>5</v>
      </c>
      <c r="B1122" s="1" t="s">
        <v>65</v>
      </c>
      <c r="C1122" s="1" t="s">
        <v>66</v>
      </c>
      <c r="D1122" s="1" t="s">
        <v>67</v>
      </c>
      <c r="E1122" s="11" t="s">
        <v>49</v>
      </c>
      <c r="F1122" s="12">
        <v>45901</v>
      </c>
      <c r="G1122" s="1" t="s">
        <v>16</v>
      </c>
      <c r="H1122" s="1" t="s">
        <v>17</v>
      </c>
      <c r="I1122" s="2">
        <v>15</v>
      </c>
      <c r="J1122" s="3">
        <v>145947</v>
      </c>
      <c r="K1122" s="3">
        <v>2189205</v>
      </c>
      <c r="L1122" s="3">
        <v>1258011</v>
      </c>
      <c r="M1122" s="3">
        <v>931194</v>
      </c>
      <c r="N1122" s="4">
        <v>1</v>
      </c>
    </row>
    <row r="1123" spans="1:14" x14ac:dyDescent="0.25">
      <c r="A1123" s="2">
        <v>5</v>
      </c>
      <c r="B1123" s="1" t="s">
        <v>65</v>
      </c>
      <c r="C1123" s="1" t="s">
        <v>66</v>
      </c>
      <c r="D1123" s="1" t="s">
        <v>68</v>
      </c>
      <c r="E1123" s="11" t="s">
        <v>49</v>
      </c>
      <c r="F1123" s="12">
        <v>45901</v>
      </c>
      <c r="G1123" s="1" t="s">
        <v>16</v>
      </c>
      <c r="H1123" s="1" t="s">
        <v>19</v>
      </c>
      <c r="I1123" s="2">
        <v>9</v>
      </c>
      <c r="J1123" s="3">
        <v>66313</v>
      </c>
      <c r="K1123" s="3">
        <v>596817</v>
      </c>
      <c r="L1123" s="3">
        <v>347541</v>
      </c>
      <c r="M1123" s="3">
        <v>249276</v>
      </c>
      <c r="N1123" s="4">
        <v>13</v>
      </c>
    </row>
    <row r="1124" spans="1:14" x14ac:dyDescent="0.25">
      <c r="A1124" s="2">
        <v>5</v>
      </c>
      <c r="B1124" s="1" t="s">
        <v>65</v>
      </c>
      <c r="C1124" s="1" t="s">
        <v>66</v>
      </c>
      <c r="D1124" s="1" t="s">
        <v>68</v>
      </c>
      <c r="E1124" s="11" t="s">
        <v>49</v>
      </c>
      <c r="F1124" s="12">
        <v>45901</v>
      </c>
      <c r="G1124" s="1" t="s">
        <v>16</v>
      </c>
      <c r="H1124" s="1" t="s">
        <v>20</v>
      </c>
      <c r="I1124" s="2">
        <v>7</v>
      </c>
      <c r="J1124" s="3">
        <v>120598</v>
      </c>
      <c r="K1124" s="3">
        <v>844186</v>
      </c>
      <c r="L1124" s="3">
        <v>399400</v>
      </c>
      <c r="M1124" s="3">
        <v>444786</v>
      </c>
      <c r="N1124" s="4">
        <v>14</v>
      </c>
    </row>
    <row r="1125" spans="1:14" x14ac:dyDescent="0.25">
      <c r="A1125" s="2">
        <v>5</v>
      </c>
      <c r="B1125" s="1" t="s">
        <v>65</v>
      </c>
      <c r="C1125" s="1" t="s">
        <v>66</v>
      </c>
      <c r="D1125" s="1" t="s">
        <v>67</v>
      </c>
      <c r="E1125" s="11" t="s">
        <v>49</v>
      </c>
      <c r="F1125" s="12">
        <v>45901</v>
      </c>
      <c r="G1125" s="1" t="s">
        <v>16</v>
      </c>
      <c r="H1125" s="1" t="s">
        <v>21</v>
      </c>
      <c r="I1125" s="2">
        <v>19</v>
      </c>
      <c r="J1125" s="3">
        <v>67221</v>
      </c>
      <c r="K1125" s="3">
        <v>1277199</v>
      </c>
      <c r="L1125" s="3">
        <v>595003</v>
      </c>
      <c r="M1125" s="3">
        <v>682196</v>
      </c>
      <c r="N1125" s="4">
        <v>11</v>
      </c>
    </row>
    <row r="1126" spans="1:14" x14ac:dyDescent="0.25">
      <c r="A1126" s="2">
        <v>5</v>
      </c>
      <c r="B1126" s="1" t="s">
        <v>65</v>
      </c>
      <c r="C1126" s="1" t="s">
        <v>66</v>
      </c>
      <c r="D1126" s="1" t="s">
        <v>67</v>
      </c>
      <c r="E1126" s="11" t="s">
        <v>49</v>
      </c>
      <c r="F1126" s="12">
        <v>45901</v>
      </c>
      <c r="G1126" s="1" t="s">
        <v>22</v>
      </c>
      <c r="H1126" s="1" t="s">
        <v>23</v>
      </c>
      <c r="I1126" s="2">
        <v>8</v>
      </c>
      <c r="J1126" s="3">
        <v>63370</v>
      </c>
      <c r="K1126" s="3">
        <v>506960</v>
      </c>
      <c r="L1126" s="3">
        <v>287478</v>
      </c>
      <c r="M1126" s="3">
        <v>219482</v>
      </c>
      <c r="N1126" s="4">
        <v>14</v>
      </c>
    </row>
    <row r="1127" spans="1:14" x14ac:dyDescent="0.25">
      <c r="A1127" s="2">
        <v>5</v>
      </c>
      <c r="B1127" s="1" t="s">
        <v>65</v>
      </c>
      <c r="C1127" s="1" t="s">
        <v>66</v>
      </c>
      <c r="D1127" s="1" t="s">
        <v>67</v>
      </c>
      <c r="E1127" s="11" t="s">
        <v>49</v>
      </c>
      <c r="F1127" s="12">
        <v>45901</v>
      </c>
      <c r="G1127" s="1" t="s">
        <v>22</v>
      </c>
      <c r="H1127" s="1" t="s">
        <v>24</v>
      </c>
      <c r="I1127" s="2">
        <v>1</v>
      </c>
      <c r="J1127" s="3">
        <v>104925</v>
      </c>
      <c r="K1127" s="3">
        <v>104925</v>
      </c>
      <c r="L1127" s="3">
        <v>69401</v>
      </c>
      <c r="M1127" s="3">
        <v>35524</v>
      </c>
      <c r="N1127" s="4">
        <v>2</v>
      </c>
    </row>
    <row r="1128" spans="1:14" x14ac:dyDescent="0.25">
      <c r="A1128" s="2">
        <v>5</v>
      </c>
      <c r="B1128" s="1" t="s">
        <v>65</v>
      </c>
      <c r="C1128" s="1" t="s">
        <v>66</v>
      </c>
      <c r="D1128" s="1" t="s">
        <v>68</v>
      </c>
      <c r="E1128" s="11" t="s">
        <v>49</v>
      </c>
      <c r="F1128" s="12">
        <v>45901</v>
      </c>
      <c r="G1128" s="1" t="s">
        <v>22</v>
      </c>
      <c r="H1128" s="1" t="s">
        <v>25</v>
      </c>
      <c r="I1128" s="2">
        <v>10</v>
      </c>
      <c r="J1128" s="3">
        <v>148935</v>
      </c>
      <c r="K1128" s="3">
        <v>1489350</v>
      </c>
      <c r="L1128" s="3">
        <v>909462</v>
      </c>
      <c r="M1128" s="3">
        <v>579888</v>
      </c>
      <c r="N1128" s="4">
        <v>0</v>
      </c>
    </row>
    <row r="1129" spans="1:14" x14ac:dyDescent="0.25">
      <c r="A1129" s="2">
        <v>5</v>
      </c>
      <c r="B1129" s="1" t="s">
        <v>65</v>
      </c>
      <c r="C1129" s="1" t="s">
        <v>66</v>
      </c>
      <c r="D1129" s="1" t="s">
        <v>67</v>
      </c>
      <c r="E1129" s="11" t="s">
        <v>49</v>
      </c>
      <c r="F1129" s="12">
        <v>45901</v>
      </c>
      <c r="G1129" s="1" t="s">
        <v>22</v>
      </c>
      <c r="H1129" s="1" t="s">
        <v>26</v>
      </c>
      <c r="I1129" s="2">
        <v>18</v>
      </c>
      <c r="J1129" s="3">
        <v>50049</v>
      </c>
      <c r="K1129" s="3">
        <v>900882</v>
      </c>
      <c r="L1129" s="3">
        <v>471690</v>
      </c>
      <c r="M1129" s="3">
        <v>429192</v>
      </c>
      <c r="N1129" s="4">
        <v>5</v>
      </c>
    </row>
    <row r="1130" spans="1:14" x14ac:dyDescent="0.25">
      <c r="A1130" s="2">
        <v>5</v>
      </c>
      <c r="B1130" s="1" t="s">
        <v>65</v>
      </c>
      <c r="C1130" s="1" t="s">
        <v>66</v>
      </c>
      <c r="D1130" s="1" t="s">
        <v>68</v>
      </c>
      <c r="E1130" s="11" t="s">
        <v>49</v>
      </c>
      <c r="F1130" s="12">
        <v>45901</v>
      </c>
      <c r="G1130" s="1" t="s">
        <v>27</v>
      </c>
      <c r="H1130" s="1" t="s">
        <v>28</v>
      </c>
      <c r="I1130" s="2">
        <v>1</v>
      </c>
      <c r="J1130" s="3">
        <v>63937</v>
      </c>
      <c r="K1130" s="3">
        <v>63937</v>
      </c>
      <c r="L1130" s="3">
        <v>25999</v>
      </c>
      <c r="M1130" s="3">
        <v>37938</v>
      </c>
      <c r="N1130" s="4">
        <v>14</v>
      </c>
    </row>
    <row r="1131" spans="1:14" x14ac:dyDescent="0.25">
      <c r="A1131" s="2">
        <v>5</v>
      </c>
      <c r="B1131" s="1" t="s">
        <v>65</v>
      </c>
      <c r="C1131" s="1" t="s">
        <v>66</v>
      </c>
      <c r="D1131" s="1" t="s">
        <v>68</v>
      </c>
      <c r="E1131" s="11" t="s">
        <v>49</v>
      </c>
      <c r="F1131" s="12">
        <v>45901</v>
      </c>
      <c r="G1131" s="1" t="s">
        <v>27</v>
      </c>
      <c r="H1131" s="1" t="s">
        <v>29</v>
      </c>
      <c r="I1131" s="2">
        <v>13</v>
      </c>
      <c r="J1131" s="3">
        <v>30799</v>
      </c>
      <c r="K1131" s="3">
        <v>400387</v>
      </c>
      <c r="L1131" s="3">
        <v>232901</v>
      </c>
      <c r="M1131" s="3">
        <v>167486</v>
      </c>
      <c r="N1131" s="4">
        <v>12</v>
      </c>
    </row>
    <row r="1132" spans="1:14" x14ac:dyDescent="0.25">
      <c r="A1132" s="2">
        <v>5</v>
      </c>
      <c r="B1132" s="1" t="s">
        <v>65</v>
      </c>
      <c r="C1132" s="1" t="s">
        <v>66</v>
      </c>
      <c r="D1132" s="1" t="s">
        <v>68</v>
      </c>
      <c r="E1132" s="11" t="s">
        <v>49</v>
      </c>
      <c r="F1132" s="12">
        <v>45901</v>
      </c>
      <c r="G1132" s="1" t="s">
        <v>27</v>
      </c>
      <c r="H1132" s="1" t="s">
        <v>30</v>
      </c>
      <c r="I1132" s="2">
        <v>7</v>
      </c>
      <c r="J1132" s="3">
        <v>104607</v>
      </c>
      <c r="K1132" s="3">
        <v>732249</v>
      </c>
      <c r="L1132" s="3">
        <v>508276</v>
      </c>
      <c r="M1132" s="3">
        <v>223973</v>
      </c>
      <c r="N1132" s="4">
        <v>0</v>
      </c>
    </row>
    <row r="1133" spans="1:14" x14ac:dyDescent="0.25">
      <c r="A1133" s="2">
        <v>5</v>
      </c>
      <c r="B1133" s="1" t="s">
        <v>65</v>
      </c>
      <c r="C1133" s="1" t="s">
        <v>66</v>
      </c>
      <c r="D1133" s="1" t="s">
        <v>67</v>
      </c>
      <c r="E1133" s="11" t="s">
        <v>49</v>
      </c>
      <c r="F1133" s="12">
        <v>45901</v>
      </c>
      <c r="G1133" s="1" t="s">
        <v>27</v>
      </c>
      <c r="H1133" s="1" t="s">
        <v>31</v>
      </c>
      <c r="I1133" s="2">
        <v>7</v>
      </c>
      <c r="J1133" s="3">
        <v>140076</v>
      </c>
      <c r="K1133" s="3">
        <v>980532</v>
      </c>
      <c r="L1133" s="3">
        <v>507481</v>
      </c>
      <c r="M1133" s="3">
        <v>473051</v>
      </c>
      <c r="N1133" s="4">
        <v>0</v>
      </c>
    </row>
    <row r="1134" spans="1:14" x14ac:dyDescent="0.25">
      <c r="A1134" s="2">
        <v>5</v>
      </c>
      <c r="B1134" s="1" t="s">
        <v>65</v>
      </c>
      <c r="C1134" s="1" t="s">
        <v>66</v>
      </c>
      <c r="D1134" s="1" t="s">
        <v>67</v>
      </c>
      <c r="E1134" s="11" t="s">
        <v>49</v>
      </c>
      <c r="F1134" s="12">
        <v>45901</v>
      </c>
      <c r="G1134" s="1" t="s">
        <v>32</v>
      </c>
      <c r="H1134" s="1" t="s">
        <v>33</v>
      </c>
      <c r="I1134" s="2">
        <v>3</v>
      </c>
      <c r="J1134" s="3">
        <v>10126</v>
      </c>
      <c r="K1134" s="3">
        <v>30378</v>
      </c>
      <c r="L1134" s="3">
        <v>19195</v>
      </c>
      <c r="M1134" s="3">
        <v>11183</v>
      </c>
      <c r="N1134" s="4">
        <v>6</v>
      </c>
    </row>
    <row r="1135" spans="1:14" x14ac:dyDescent="0.25">
      <c r="A1135" s="2">
        <v>5</v>
      </c>
      <c r="B1135" s="1" t="s">
        <v>65</v>
      </c>
      <c r="C1135" s="1" t="s">
        <v>66</v>
      </c>
      <c r="D1135" s="1" t="s">
        <v>68</v>
      </c>
      <c r="E1135" s="11" t="s">
        <v>49</v>
      </c>
      <c r="F1135" s="12">
        <v>45901</v>
      </c>
      <c r="G1135" s="1" t="s">
        <v>32</v>
      </c>
      <c r="H1135" s="1" t="s">
        <v>34</v>
      </c>
      <c r="I1135" s="2">
        <v>1</v>
      </c>
      <c r="J1135" s="3">
        <v>6776</v>
      </c>
      <c r="K1135" s="3">
        <v>6776</v>
      </c>
      <c r="L1135" s="3">
        <v>3953</v>
      </c>
      <c r="M1135" s="3">
        <v>2823</v>
      </c>
      <c r="N1135" s="4">
        <v>10</v>
      </c>
    </row>
    <row r="1136" spans="1:14" x14ac:dyDescent="0.25">
      <c r="A1136" s="2">
        <v>5</v>
      </c>
      <c r="B1136" s="1" t="s">
        <v>65</v>
      </c>
      <c r="C1136" s="1" t="s">
        <v>66</v>
      </c>
      <c r="D1136" s="1" t="s">
        <v>68</v>
      </c>
      <c r="E1136" s="11" t="s">
        <v>49</v>
      </c>
      <c r="F1136" s="12">
        <v>45901</v>
      </c>
      <c r="G1136" s="1" t="s">
        <v>32</v>
      </c>
      <c r="H1136" s="1" t="s">
        <v>35</v>
      </c>
      <c r="I1136" s="2">
        <v>3</v>
      </c>
      <c r="J1136" s="3">
        <v>12374</v>
      </c>
      <c r="K1136" s="3">
        <v>37122</v>
      </c>
      <c r="L1136" s="3">
        <v>24711</v>
      </c>
      <c r="M1136" s="3">
        <v>12411</v>
      </c>
      <c r="N1136" s="4">
        <v>10</v>
      </c>
    </row>
    <row r="1137" spans="1:14" x14ac:dyDescent="0.25">
      <c r="A1137" s="2">
        <v>5</v>
      </c>
      <c r="B1137" s="1" t="s">
        <v>65</v>
      </c>
      <c r="C1137" s="1" t="s">
        <v>66</v>
      </c>
      <c r="D1137" s="1" t="s">
        <v>68</v>
      </c>
      <c r="E1137" s="11" t="s">
        <v>49</v>
      </c>
      <c r="F1137" s="12">
        <v>45901</v>
      </c>
      <c r="G1137" s="1" t="s">
        <v>32</v>
      </c>
      <c r="H1137" s="1" t="s">
        <v>36</v>
      </c>
      <c r="I1137" s="2">
        <v>16</v>
      </c>
      <c r="J1137" s="3">
        <v>19360</v>
      </c>
      <c r="K1137" s="3">
        <v>309760</v>
      </c>
      <c r="L1137" s="3">
        <v>191863</v>
      </c>
      <c r="M1137" s="3">
        <v>117897</v>
      </c>
      <c r="N1137" s="4">
        <v>8</v>
      </c>
    </row>
    <row r="1138" spans="1:14" x14ac:dyDescent="0.25">
      <c r="A1138" s="2">
        <v>5</v>
      </c>
      <c r="B1138" s="1" t="s">
        <v>65</v>
      </c>
      <c r="C1138" s="1" t="s">
        <v>66</v>
      </c>
      <c r="D1138" s="1" t="s">
        <v>68</v>
      </c>
      <c r="E1138" s="11" t="s">
        <v>49</v>
      </c>
      <c r="F1138" s="12">
        <v>45901</v>
      </c>
      <c r="G1138" s="1" t="s">
        <v>37</v>
      </c>
      <c r="H1138" s="1" t="s">
        <v>38</v>
      </c>
      <c r="I1138" s="2">
        <v>1</v>
      </c>
      <c r="J1138" s="3">
        <v>141948</v>
      </c>
      <c r="K1138" s="3">
        <v>141948</v>
      </c>
      <c r="L1138" s="3">
        <v>91757</v>
      </c>
      <c r="M1138" s="3">
        <v>50191</v>
      </c>
      <c r="N1138" s="4">
        <v>8</v>
      </c>
    </row>
    <row r="1139" spans="1:14" x14ac:dyDescent="0.25">
      <c r="A1139" s="2">
        <v>5</v>
      </c>
      <c r="B1139" s="1" t="s">
        <v>65</v>
      </c>
      <c r="C1139" s="1" t="s">
        <v>66</v>
      </c>
      <c r="D1139" s="1" t="s">
        <v>67</v>
      </c>
      <c r="E1139" s="11" t="s">
        <v>49</v>
      </c>
      <c r="F1139" s="12">
        <v>45901</v>
      </c>
      <c r="G1139" s="1" t="s">
        <v>37</v>
      </c>
      <c r="H1139" s="1" t="s">
        <v>39</v>
      </c>
      <c r="I1139" s="2">
        <v>19</v>
      </c>
      <c r="J1139" s="3">
        <v>45963</v>
      </c>
      <c r="K1139" s="3">
        <v>873297</v>
      </c>
      <c r="L1139" s="3">
        <v>436725</v>
      </c>
      <c r="M1139" s="3">
        <v>436572</v>
      </c>
      <c r="N1139" s="4">
        <v>8</v>
      </c>
    </row>
    <row r="1140" spans="1:14" x14ac:dyDescent="0.25">
      <c r="A1140" s="2">
        <v>5</v>
      </c>
      <c r="B1140" s="1" t="s">
        <v>65</v>
      </c>
      <c r="C1140" s="1" t="s">
        <v>66</v>
      </c>
      <c r="D1140" s="1" t="s">
        <v>68</v>
      </c>
      <c r="E1140" s="11" t="s">
        <v>49</v>
      </c>
      <c r="F1140" s="12">
        <v>45901</v>
      </c>
      <c r="G1140" s="1" t="s">
        <v>37</v>
      </c>
      <c r="H1140" s="1" t="s">
        <v>40</v>
      </c>
      <c r="I1140" s="2">
        <v>7</v>
      </c>
      <c r="J1140" s="3">
        <v>20717</v>
      </c>
      <c r="K1140" s="3">
        <v>145019</v>
      </c>
      <c r="L1140" s="3">
        <v>80219</v>
      </c>
      <c r="M1140" s="3">
        <v>64800</v>
      </c>
      <c r="N1140" s="4">
        <v>2</v>
      </c>
    </row>
    <row r="1141" spans="1:14" x14ac:dyDescent="0.25">
      <c r="A1141" s="2">
        <v>5</v>
      </c>
      <c r="B1141" s="1" t="s">
        <v>65</v>
      </c>
      <c r="C1141" s="1" t="s">
        <v>66</v>
      </c>
      <c r="D1141" s="1" t="s">
        <v>67</v>
      </c>
      <c r="E1141" s="11" t="s">
        <v>49</v>
      </c>
      <c r="F1141" s="12">
        <v>45901</v>
      </c>
      <c r="G1141" s="1" t="s">
        <v>37</v>
      </c>
      <c r="H1141" s="1" t="s">
        <v>41</v>
      </c>
      <c r="I1141" s="2">
        <v>2</v>
      </c>
      <c r="J1141" s="3">
        <v>138696</v>
      </c>
      <c r="K1141" s="3">
        <v>277392</v>
      </c>
      <c r="L1141" s="3">
        <v>184401</v>
      </c>
      <c r="M1141" s="3">
        <v>92991</v>
      </c>
      <c r="N1141" s="4">
        <v>2</v>
      </c>
    </row>
    <row r="1142" spans="1:14" x14ac:dyDescent="0.25">
      <c r="A1142" s="2">
        <v>5</v>
      </c>
      <c r="B1142" s="1" t="s">
        <v>65</v>
      </c>
      <c r="C1142" s="1" t="s">
        <v>66</v>
      </c>
      <c r="D1142" s="1" t="s">
        <v>68</v>
      </c>
      <c r="E1142" s="11" t="s">
        <v>50</v>
      </c>
      <c r="F1142" s="12">
        <v>45931</v>
      </c>
      <c r="G1142" s="1" t="s">
        <v>16</v>
      </c>
      <c r="H1142" s="1" t="s">
        <v>17</v>
      </c>
      <c r="I1142" s="2">
        <v>11</v>
      </c>
      <c r="J1142" s="3">
        <v>89300</v>
      </c>
      <c r="K1142" s="3">
        <v>982300</v>
      </c>
      <c r="L1142" s="3">
        <v>513666</v>
      </c>
      <c r="M1142" s="3">
        <v>468634</v>
      </c>
      <c r="N1142" s="4">
        <v>8</v>
      </c>
    </row>
    <row r="1143" spans="1:14" x14ac:dyDescent="0.25">
      <c r="A1143" s="2">
        <v>5</v>
      </c>
      <c r="B1143" s="1" t="s">
        <v>65</v>
      </c>
      <c r="C1143" s="1" t="s">
        <v>66</v>
      </c>
      <c r="D1143" s="1" t="s">
        <v>67</v>
      </c>
      <c r="E1143" s="11" t="s">
        <v>50</v>
      </c>
      <c r="F1143" s="12">
        <v>45931</v>
      </c>
      <c r="G1143" s="1" t="s">
        <v>16</v>
      </c>
      <c r="H1143" s="1" t="s">
        <v>19</v>
      </c>
      <c r="I1143" s="2">
        <v>8</v>
      </c>
      <c r="J1143" s="3">
        <v>43185</v>
      </c>
      <c r="K1143" s="3">
        <v>345480</v>
      </c>
      <c r="L1143" s="3">
        <v>231655</v>
      </c>
      <c r="M1143" s="3">
        <v>113825</v>
      </c>
      <c r="N1143" s="4">
        <v>1</v>
      </c>
    </row>
    <row r="1144" spans="1:14" x14ac:dyDescent="0.25">
      <c r="A1144" s="2">
        <v>5</v>
      </c>
      <c r="B1144" s="1" t="s">
        <v>65</v>
      </c>
      <c r="C1144" s="1" t="s">
        <v>66</v>
      </c>
      <c r="D1144" s="1" t="s">
        <v>67</v>
      </c>
      <c r="E1144" s="11" t="s">
        <v>50</v>
      </c>
      <c r="F1144" s="12">
        <v>45931</v>
      </c>
      <c r="G1144" s="1" t="s">
        <v>16</v>
      </c>
      <c r="H1144" s="1" t="s">
        <v>20</v>
      </c>
      <c r="I1144" s="2">
        <v>8</v>
      </c>
      <c r="J1144" s="3">
        <v>22581</v>
      </c>
      <c r="K1144" s="3">
        <v>180648</v>
      </c>
      <c r="L1144" s="3">
        <v>98232</v>
      </c>
      <c r="M1144" s="3">
        <v>82416</v>
      </c>
      <c r="N1144" s="4">
        <v>14</v>
      </c>
    </row>
    <row r="1145" spans="1:14" x14ac:dyDescent="0.25">
      <c r="A1145" s="2">
        <v>5</v>
      </c>
      <c r="B1145" s="1" t="s">
        <v>65</v>
      </c>
      <c r="C1145" s="1" t="s">
        <v>66</v>
      </c>
      <c r="D1145" s="1" t="s">
        <v>68</v>
      </c>
      <c r="E1145" s="11" t="s">
        <v>50</v>
      </c>
      <c r="F1145" s="12">
        <v>45931</v>
      </c>
      <c r="G1145" s="1" t="s">
        <v>16</v>
      </c>
      <c r="H1145" s="1" t="s">
        <v>21</v>
      </c>
      <c r="I1145" s="2">
        <v>8</v>
      </c>
      <c r="J1145" s="3">
        <v>96067</v>
      </c>
      <c r="K1145" s="3">
        <v>768536</v>
      </c>
      <c r="L1145" s="3">
        <v>502913</v>
      </c>
      <c r="M1145" s="3">
        <v>265623</v>
      </c>
      <c r="N1145" s="4">
        <v>3</v>
      </c>
    </row>
    <row r="1146" spans="1:14" x14ac:dyDescent="0.25">
      <c r="A1146" s="2">
        <v>5</v>
      </c>
      <c r="B1146" s="1" t="s">
        <v>65</v>
      </c>
      <c r="C1146" s="1" t="s">
        <v>66</v>
      </c>
      <c r="D1146" s="1" t="s">
        <v>67</v>
      </c>
      <c r="E1146" s="11" t="s">
        <v>50</v>
      </c>
      <c r="F1146" s="12">
        <v>45931</v>
      </c>
      <c r="G1146" s="1" t="s">
        <v>22</v>
      </c>
      <c r="H1146" s="1" t="s">
        <v>23</v>
      </c>
      <c r="I1146" s="2">
        <v>17</v>
      </c>
      <c r="J1146" s="3">
        <v>57548</v>
      </c>
      <c r="K1146" s="3">
        <v>978316</v>
      </c>
      <c r="L1146" s="3">
        <v>523539</v>
      </c>
      <c r="M1146" s="3">
        <v>454777</v>
      </c>
      <c r="N1146" s="4">
        <v>12</v>
      </c>
    </row>
    <row r="1147" spans="1:14" x14ac:dyDescent="0.25">
      <c r="A1147" s="2">
        <v>5</v>
      </c>
      <c r="B1147" s="1" t="s">
        <v>65</v>
      </c>
      <c r="C1147" s="1" t="s">
        <v>66</v>
      </c>
      <c r="D1147" s="1" t="s">
        <v>67</v>
      </c>
      <c r="E1147" s="11" t="s">
        <v>50</v>
      </c>
      <c r="F1147" s="12">
        <v>45931</v>
      </c>
      <c r="G1147" s="1" t="s">
        <v>22</v>
      </c>
      <c r="H1147" s="1" t="s">
        <v>24</v>
      </c>
      <c r="I1147" s="2">
        <v>13</v>
      </c>
      <c r="J1147" s="3">
        <v>110101</v>
      </c>
      <c r="K1147" s="3">
        <v>1431313</v>
      </c>
      <c r="L1147" s="3">
        <v>758655</v>
      </c>
      <c r="M1147" s="3">
        <v>672658</v>
      </c>
      <c r="N1147" s="4">
        <v>12</v>
      </c>
    </row>
    <row r="1148" spans="1:14" x14ac:dyDescent="0.25">
      <c r="A1148" s="2">
        <v>5</v>
      </c>
      <c r="B1148" s="1" t="s">
        <v>65</v>
      </c>
      <c r="C1148" s="1" t="s">
        <v>66</v>
      </c>
      <c r="D1148" s="1" t="s">
        <v>68</v>
      </c>
      <c r="E1148" s="11" t="s">
        <v>50</v>
      </c>
      <c r="F1148" s="12">
        <v>45931</v>
      </c>
      <c r="G1148" s="1" t="s">
        <v>22</v>
      </c>
      <c r="H1148" s="1" t="s">
        <v>25</v>
      </c>
      <c r="I1148" s="2">
        <v>10</v>
      </c>
      <c r="J1148" s="3">
        <v>130300</v>
      </c>
      <c r="K1148" s="3">
        <v>1303000</v>
      </c>
      <c r="L1148" s="3">
        <v>695692</v>
      </c>
      <c r="M1148" s="3">
        <v>607308</v>
      </c>
      <c r="N1148" s="4">
        <v>2</v>
      </c>
    </row>
    <row r="1149" spans="1:14" x14ac:dyDescent="0.25">
      <c r="A1149" s="2">
        <v>5</v>
      </c>
      <c r="B1149" s="1" t="s">
        <v>65</v>
      </c>
      <c r="C1149" s="1" t="s">
        <v>66</v>
      </c>
      <c r="D1149" s="1" t="s">
        <v>67</v>
      </c>
      <c r="E1149" s="11" t="s">
        <v>50</v>
      </c>
      <c r="F1149" s="12">
        <v>45931</v>
      </c>
      <c r="G1149" s="1" t="s">
        <v>22</v>
      </c>
      <c r="H1149" s="1" t="s">
        <v>26</v>
      </c>
      <c r="I1149" s="2">
        <v>14</v>
      </c>
      <c r="J1149" s="3">
        <v>42335</v>
      </c>
      <c r="K1149" s="3">
        <v>592690</v>
      </c>
      <c r="L1149" s="3">
        <v>345255</v>
      </c>
      <c r="M1149" s="3">
        <v>247435</v>
      </c>
      <c r="N1149" s="4">
        <v>6</v>
      </c>
    </row>
    <row r="1150" spans="1:14" x14ac:dyDescent="0.25">
      <c r="A1150" s="2">
        <v>5</v>
      </c>
      <c r="B1150" s="1" t="s">
        <v>65</v>
      </c>
      <c r="C1150" s="1" t="s">
        <v>66</v>
      </c>
      <c r="D1150" s="1" t="s">
        <v>68</v>
      </c>
      <c r="E1150" s="11" t="s">
        <v>50</v>
      </c>
      <c r="F1150" s="12">
        <v>45931</v>
      </c>
      <c r="G1150" s="1" t="s">
        <v>27</v>
      </c>
      <c r="H1150" s="1" t="s">
        <v>28</v>
      </c>
      <c r="I1150" s="2">
        <v>4</v>
      </c>
      <c r="J1150" s="3">
        <v>42010</v>
      </c>
      <c r="K1150" s="3">
        <v>168040</v>
      </c>
      <c r="L1150" s="3">
        <v>85842</v>
      </c>
      <c r="M1150" s="3">
        <v>82198</v>
      </c>
      <c r="N1150" s="4">
        <v>10</v>
      </c>
    </row>
    <row r="1151" spans="1:14" x14ac:dyDescent="0.25">
      <c r="A1151" s="2">
        <v>5</v>
      </c>
      <c r="B1151" s="1" t="s">
        <v>65</v>
      </c>
      <c r="C1151" s="1" t="s">
        <v>66</v>
      </c>
      <c r="D1151" s="1" t="s">
        <v>68</v>
      </c>
      <c r="E1151" s="11" t="s">
        <v>50</v>
      </c>
      <c r="F1151" s="12">
        <v>45931</v>
      </c>
      <c r="G1151" s="1" t="s">
        <v>27</v>
      </c>
      <c r="H1151" s="1" t="s">
        <v>29</v>
      </c>
      <c r="I1151" s="2">
        <v>11</v>
      </c>
      <c r="J1151" s="3">
        <v>140927</v>
      </c>
      <c r="K1151" s="3">
        <v>1550197</v>
      </c>
      <c r="L1151" s="3">
        <v>623968</v>
      </c>
      <c r="M1151" s="3">
        <v>926229</v>
      </c>
      <c r="N1151" s="4">
        <v>10</v>
      </c>
    </row>
    <row r="1152" spans="1:14" x14ac:dyDescent="0.25">
      <c r="A1152" s="2">
        <v>5</v>
      </c>
      <c r="B1152" s="1" t="s">
        <v>65</v>
      </c>
      <c r="C1152" s="1" t="s">
        <v>66</v>
      </c>
      <c r="D1152" s="1" t="s">
        <v>67</v>
      </c>
      <c r="E1152" s="11" t="s">
        <v>50</v>
      </c>
      <c r="F1152" s="12">
        <v>45931</v>
      </c>
      <c r="G1152" s="1" t="s">
        <v>27</v>
      </c>
      <c r="H1152" s="1" t="s">
        <v>30</v>
      </c>
      <c r="I1152" s="2">
        <v>2</v>
      </c>
      <c r="J1152" s="3">
        <v>29277</v>
      </c>
      <c r="K1152" s="3">
        <v>58554</v>
      </c>
      <c r="L1152" s="3">
        <v>38218</v>
      </c>
      <c r="M1152" s="3">
        <v>20336</v>
      </c>
      <c r="N1152" s="4">
        <v>8</v>
      </c>
    </row>
    <row r="1153" spans="1:14" x14ac:dyDescent="0.25">
      <c r="A1153" s="2">
        <v>5</v>
      </c>
      <c r="B1153" s="1" t="s">
        <v>65</v>
      </c>
      <c r="C1153" s="1" t="s">
        <v>66</v>
      </c>
      <c r="D1153" s="1" t="s">
        <v>68</v>
      </c>
      <c r="E1153" s="11" t="s">
        <v>50</v>
      </c>
      <c r="F1153" s="12">
        <v>45931</v>
      </c>
      <c r="G1153" s="1" t="s">
        <v>27</v>
      </c>
      <c r="H1153" s="1" t="s">
        <v>31</v>
      </c>
      <c r="I1153" s="2">
        <v>2</v>
      </c>
      <c r="J1153" s="3">
        <v>75612</v>
      </c>
      <c r="K1153" s="3">
        <v>151224</v>
      </c>
      <c r="L1153" s="3">
        <v>65193</v>
      </c>
      <c r="M1153" s="3">
        <v>86031</v>
      </c>
      <c r="N1153" s="4">
        <v>8</v>
      </c>
    </row>
    <row r="1154" spans="1:14" x14ac:dyDescent="0.25">
      <c r="A1154" s="2">
        <v>5</v>
      </c>
      <c r="B1154" s="1" t="s">
        <v>65</v>
      </c>
      <c r="C1154" s="1" t="s">
        <v>66</v>
      </c>
      <c r="D1154" s="1" t="s">
        <v>68</v>
      </c>
      <c r="E1154" s="11" t="s">
        <v>50</v>
      </c>
      <c r="F1154" s="12">
        <v>45931</v>
      </c>
      <c r="G1154" s="1" t="s">
        <v>32</v>
      </c>
      <c r="H1154" s="1" t="s">
        <v>33</v>
      </c>
      <c r="I1154" s="2">
        <v>4</v>
      </c>
      <c r="J1154" s="3">
        <v>10255</v>
      </c>
      <c r="K1154" s="3">
        <v>41020</v>
      </c>
      <c r="L1154" s="3">
        <v>21651</v>
      </c>
      <c r="M1154" s="3">
        <v>19369</v>
      </c>
      <c r="N1154" s="4">
        <v>9</v>
      </c>
    </row>
    <row r="1155" spans="1:14" x14ac:dyDescent="0.25">
      <c r="A1155" s="2">
        <v>5</v>
      </c>
      <c r="B1155" s="1" t="s">
        <v>65</v>
      </c>
      <c r="C1155" s="1" t="s">
        <v>66</v>
      </c>
      <c r="D1155" s="1" t="s">
        <v>68</v>
      </c>
      <c r="E1155" s="11" t="s">
        <v>50</v>
      </c>
      <c r="F1155" s="12">
        <v>45931</v>
      </c>
      <c r="G1155" s="1" t="s">
        <v>32</v>
      </c>
      <c r="H1155" s="1" t="s">
        <v>34</v>
      </c>
      <c r="I1155" s="2">
        <v>5</v>
      </c>
      <c r="J1155" s="3">
        <v>8439</v>
      </c>
      <c r="K1155" s="3">
        <v>42195</v>
      </c>
      <c r="L1155" s="3">
        <v>26393</v>
      </c>
      <c r="M1155" s="3">
        <v>15802</v>
      </c>
      <c r="N1155" s="4">
        <v>6</v>
      </c>
    </row>
    <row r="1156" spans="1:14" x14ac:dyDescent="0.25">
      <c r="A1156" s="2">
        <v>5</v>
      </c>
      <c r="B1156" s="1" t="s">
        <v>65</v>
      </c>
      <c r="C1156" s="1" t="s">
        <v>66</v>
      </c>
      <c r="D1156" s="1" t="s">
        <v>67</v>
      </c>
      <c r="E1156" s="11" t="s">
        <v>50</v>
      </c>
      <c r="F1156" s="12">
        <v>45931</v>
      </c>
      <c r="G1156" s="1" t="s">
        <v>32</v>
      </c>
      <c r="H1156" s="1" t="s">
        <v>35</v>
      </c>
      <c r="I1156" s="2">
        <v>17</v>
      </c>
      <c r="J1156" s="3">
        <v>16618</v>
      </c>
      <c r="K1156" s="3">
        <v>282506</v>
      </c>
      <c r="L1156" s="3">
        <v>169884</v>
      </c>
      <c r="M1156" s="3">
        <v>112622</v>
      </c>
      <c r="N1156" s="4">
        <v>11</v>
      </c>
    </row>
    <row r="1157" spans="1:14" x14ac:dyDescent="0.25">
      <c r="A1157" s="2">
        <v>5</v>
      </c>
      <c r="B1157" s="1" t="s">
        <v>65</v>
      </c>
      <c r="C1157" s="1" t="s">
        <v>66</v>
      </c>
      <c r="D1157" s="1" t="s">
        <v>67</v>
      </c>
      <c r="E1157" s="11" t="s">
        <v>50</v>
      </c>
      <c r="F1157" s="12">
        <v>45931</v>
      </c>
      <c r="G1157" s="1" t="s">
        <v>32</v>
      </c>
      <c r="H1157" s="1" t="s">
        <v>36</v>
      </c>
      <c r="I1157" s="2">
        <v>7</v>
      </c>
      <c r="J1157" s="3">
        <v>8163</v>
      </c>
      <c r="K1157" s="3">
        <v>57141</v>
      </c>
      <c r="L1157" s="3">
        <v>26198</v>
      </c>
      <c r="M1157" s="3">
        <v>30943</v>
      </c>
      <c r="N1157" s="4">
        <v>11</v>
      </c>
    </row>
    <row r="1158" spans="1:14" x14ac:dyDescent="0.25">
      <c r="A1158" s="2">
        <v>5</v>
      </c>
      <c r="B1158" s="1" t="s">
        <v>65</v>
      </c>
      <c r="C1158" s="1" t="s">
        <v>66</v>
      </c>
      <c r="D1158" s="1" t="s">
        <v>68</v>
      </c>
      <c r="E1158" s="11" t="s">
        <v>50</v>
      </c>
      <c r="F1158" s="12">
        <v>45931</v>
      </c>
      <c r="G1158" s="1" t="s">
        <v>37</v>
      </c>
      <c r="H1158" s="1" t="s">
        <v>38</v>
      </c>
      <c r="I1158" s="2">
        <v>6</v>
      </c>
      <c r="J1158" s="3">
        <v>55740</v>
      </c>
      <c r="K1158" s="3">
        <v>334440</v>
      </c>
      <c r="L1158" s="3">
        <v>149696</v>
      </c>
      <c r="M1158" s="3">
        <v>184744</v>
      </c>
      <c r="N1158" s="4">
        <v>6</v>
      </c>
    </row>
    <row r="1159" spans="1:14" x14ac:dyDescent="0.25">
      <c r="A1159" s="2">
        <v>5</v>
      </c>
      <c r="B1159" s="1" t="s">
        <v>65</v>
      </c>
      <c r="C1159" s="1" t="s">
        <v>66</v>
      </c>
      <c r="D1159" s="1" t="s">
        <v>67</v>
      </c>
      <c r="E1159" s="11" t="s">
        <v>50</v>
      </c>
      <c r="F1159" s="12">
        <v>45931</v>
      </c>
      <c r="G1159" s="1" t="s">
        <v>37</v>
      </c>
      <c r="H1159" s="1" t="s">
        <v>39</v>
      </c>
      <c r="I1159" s="2">
        <v>3</v>
      </c>
      <c r="J1159" s="3">
        <v>136500</v>
      </c>
      <c r="K1159" s="3">
        <v>409500</v>
      </c>
      <c r="L1159" s="3">
        <v>244160</v>
      </c>
      <c r="M1159" s="3">
        <v>165340</v>
      </c>
      <c r="N1159" s="4">
        <v>3</v>
      </c>
    </row>
    <row r="1160" spans="1:14" x14ac:dyDescent="0.25">
      <c r="A1160" s="2">
        <v>5</v>
      </c>
      <c r="B1160" s="1" t="s">
        <v>65</v>
      </c>
      <c r="C1160" s="1" t="s">
        <v>66</v>
      </c>
      <c r="D1160" s="1" t="s">
        <v>67</v>
      </c>
      <c r="E1160" s="11" t="s">
        <v>50</v>
      </c>
      <c r="F1160" s="12">
        <v>45931</v>
      </c>
      <c r="G1160" s="1" t="s">
        <v>37</v>
      </c>
      <c r="H1160" s="1" t="s">
        <v>40</v>
      </c>
      <c r="I1160" s="2">
        <v>10</v>
      </c>
      <c r="J1160" s="3">
        <v>64516</v>
      </c>
      <c r="K1160" s="3">
        <v>645160</v>
      </c>
      <c r="L1160" s="3">
        <v>362898</v>
      </c>
      <c r="M1160" s="3">
        <v>282262</v>
      </c>
      <c r="N1160" s="4">
        <v>13</v>
      </c>
    </row>
    <row r="1161" spans="1:14" x14ac:dyDescent="0.25">
      <c r="A1161" s="2">
        <v>5</v>
      </c>
      <c r="B1161" s="1" t="s">
        <v>65</v>
      </c>
      <c r="C1161" s="1" t="s">
        <v>66</v>
      </c>
      <c r="D1161" s="1" t="s">
        <v>68</v>
      </c>
      <c r="E1161" s="11" t="s">
        <v>50</v>
      </c>
      <c r="F1161" s="12">
        <v>45931</v>
      </c>
      <c r="G1161" s="1" t="s">
        <v>37</v>
      </c>
      <c r="H1161" s="1" t="s">
        <v>41</v>
      </c>
      <c r="I1161" s="2">
        <v>10</v>
      </c>
      <c r="J1161" s="3">
        <v>104811</v>
      </c>
      <c r="K1161" s="3">
        <v>1048110</v>
      </c>
      <c r="L1161" s="3">
        <v>568260</v>
      </c>
      <c r="M1161" s="3">
        <v>479850</v>
      </c>
      <c r="N1161" s="4">
        <v>12</v>
      </c>
    </row>
    <row r="1162" spans="1:14" x14ac:dyDescent="0.25">
      <c r="A1162" s="2">
        <v>5</v>
      </c>
      <c r="B1162" s="1" t="s">
        <v>65</v>
      </c>
      <c r="C1162" s="1" t="s">
        <v>66</v>
      </c>
      <c r="D1162" s="1" t="s">
        <v>67</v>
      </c>
      <c r="E1162" s="11" t="s">
        <v>51</v>
      </c>
      <c r="F1162" s="12">
        <v>45962</v>
      </c>
      <c r="G1162" s="1" t="s">
        <v>16</v>
      </c>
      <c r="H1162" s="1" t="s">
        <v>17</v>
      </c>
      <c r="I1162" s="2">
        <v>11</v>
      </c>
      <c r="J1162" s="3">
        <v>52821</v>
      </c>
      <c r="K1162" s="3">
        <v>581031</v>
      </c>
      <c r="L1162" s="3">
        <v>299732</v>
      </c>
      <c r="M1162" s="3">
        <v>281299</v>
      </c>
      <c r="N1162" s="4">
        <v>7</v>
      </c>
    </row>
    <row r="1163" spans="1:14" x14ac:dyDescent="0.25">
      <c r="A1163" s="2">
        <v>5</v>
      </c>
      <c r="B1163" s="1" t="s">
        <v>65</v>
      </c>
      <c r="C1163" s="1" t="s">
        <v>66</v>
      </c>
      <c r="D1163" s="1" t="s">
        <v>68</v>
      </c>
      <c r="E1163" s="11" t="s">
        <v>51</v>
      </c>
      <c r="F1163" s="12">
        <v>45962</v>
      </c>
      <c r="G1163" s="1" t="s">
        <v>16</v>
      </c>
      <c r="H1163" s="1" t="s">
        <v>19</v>
      </c>
      <c r="I1163" s="2">
        <v>8</v>
      </c>
      <c r="J1163" s="3">
        <v>60172</v>
      </c>
      <c r="K1163" s="3">
        <v>481376</v>
      </c>
      <c r="L1163" s="3">
        <v>223586</v>
      </c>
      <c r="M1163" s="3">
        <v>257790</v>
      </c>
      <c r="N1163" s="4">
        <v>13</v>
      </c>
    </row>
    <row r="1164" spans="1:14" x14ac:dyDescent="0.25">
      <c r="A1164" s="2">
        <v>5</v>
      </c>
      <c r="B1164" s="1" t="s">
        <v>65</v>
      </c>
      <c r="C1164" s="1" t="s">
        <v>66</v>
      </c>
      <c r="D1164" s="1" t="s">
        <v>68</v>
      </c>
      <c r="E1164" s="11" t="s">
        <v>51</v>
      </c>
      <c r="F1164" s="12">
        <v>45962</v>
      </c>
      <c r="G1164" s="1" t="s">
        <v>16</v>
      </c>
      <c r="H1164" s="1" t="s">
        <v>20</v>
      </c>
      <c r="I1164" s="2">
        <v>12</v>
      </c>
      <c r="J1164" s="3">
        <v>61609</v>
      </c>
      <c r="K1164" s="3">
        <v>739308</v>
      </c>
      <c r="L1164" s="3">
        <v>408185</v>
      </c>
      <c r="M1164" s="3">
        <v>331123</v>
      </c>
      <c r="N1164" s="4">
        <v>14</v>
      </c>
    </row>
    <row r="1165" spans="1:14" x14ac:dyDescent="0.25">
      <c r="A1165" s="2">
        <v>5</v>
      </c>
      <c r="B1165" s="1" t="s">
        <v>65</v>
      </c>
      <c r="C1165" s="1" t="s">
        <v>66</v>
      </c>
      <c r="D1165" s="1" t="s">
        <v>67</v>
      </c>
      <c r="E1165" s="11" t="s">
        <v>51</v>
      </c>
      <c r="F1165" s="12">
        <v>45962</v>
      </c>
      <c r="G1165" s="1" t="s">
        <v>16</v>
      </c>
      <c r="H1165" s="1" t="s">
        <v>21</v>
      </c>
      <c r="I1165" s="2">
        <v>16</v>
      </c>
      <c r="J1165" s="3">
        <v>47216</v>
      </c>
      <c r="K1165" s="3">
        <v>755456</v>
      </c>
      <c r="L1165" s="3">
        <v>434689</v>
      </c>
      <c r="M1165" s="3">
        <v>320767</v>
      </c>
      <c r="N1165" s="4">
        <v>1</v>
      </c>
    </row>
    <row r="1166" spans="1:14" x14ac:dyDescent="0.25">
      <c r="A1166" s="2">
        <v>5</v>
      </c>
      <c r="B1166" s="1" t="s">
        <v>65</v>
      </c>
      <c r="C1166" s="1" t="s">
        <v>66</v>
      </c>
      <c r="D1166" s="1" t="s">
        <v>67</v>
      </c>
      <c r="E1166" s="11" t="s">
        <v>51</v>
      </c>
      <c r="F1166" s="12">
        <v>45962</v>
      </c>
      <c r="G1166" s="1" t="s">
        <v>22</v>
      </c>
      <c r="H1166" s="1" t="s">
        <v>23</v>
      </c>
      <c r="I1166" s="2">
        <v>12</v>
      </c>
      <c r="J1166" s="3">
        <v>69522</v>
      </c>
      <c r="K1166" s="3">
        <v>834264</v>
      </c>
      <c r="L1166" s="3">
        <v>539392</v>
      </c>
      <c r="M1166" s="3">
        <v>294872</v>
      </c>
      <c r="N1166" s="4">
        <v>1</v>
      </c>
    </row>
    <row r="1167" spans="1:14" x14ac:dyDescent="0.25">
      <c r="A1167" s="2">
        <v>5</v>
      </c>
      <c r="B1167" s="1" t="s">
        <v>65</v>
      </c>
      <c r="C1167" s="1" t="s">
        <v>66</v>
      </c>
      <c r="D1167" s="1" t="s">
        <v>68</v>
      </c>
      <c r="E1167" s="11" t="s">
        <v>51</v>
      </c>
      <c r="F1167" s="12">
        <v>45962</v>
      </c>
      <c r="G1167" s="1" t="s">
        <v>22</v>
      </c>
      <c r="H1167" s="1" t="s">
        <v>24</v>
      </c>
      <c r="I1167" s="2">
        <v>17</v>
      </c>
      <c r="J1167" s="3">
        <v>36767</v>
      </c>
      <c r="K1167" s="3">
        <v>625039</v>
      </c>
      <c r="L1167" s="3">
        <v>353023</v>
      </c>
      <c r="M1167" s="3">
        <v>272016</v>
      </c>
      <c r="N1167" s="4">
        <v>8</v>
      </c>
    </row>
    <row r="1168" spans="1:14" x14ac:dyDescent="0.25">
      <c r="A1168" s="2">
        <v>5</v>
      </c>
      <c r="B1168" s="1" t="s">
        <v>65</v>
      </c>
      <c r="C1168" s="1" t="s">
        <v>66</v>
      </c>
      <c r="D1168" s="1" t="s">
        <v>68</v>
      </c>
      <c r="E1168" s="11" t="s">
        <v>51</v>
      </c>
      <c r="F1168" s="12">
        <v>45962</v>
      </c>
      <c r="G1168" s="1" t="s">
        <v>22</v>
      </c>
      <c r="H1168" s="1" t="s">
        <v>25</v>
      </c>
      <c r="I1168" s="2">
        <v>15</v>
      </c>
      <c r="J1168" s="3">
        <v>73442</v>
      </c>
      <c r="K1168" s="3">
        <v>1101630</v>
      </c>
      <c r="L1168" s="3">
        <v>751003</v>
      </c>
      <c r="M1168" s="3">
        <v>350627</v>
      </c>
      <c r="N1168" s="4">
        <v>13</v>
      </c>
    </row>
    <row r="1169" spans="1:14" x14ac:dyDescent="0.25">
      <c r="A1169" s="2">
        <v>5</v>
      </c>
      <c r="B1169" s="1" t="s">
        <v>65</v>
      </c>
      <c r="C1169" s="1" t="s">
        <v>66</v>
      </c>
      <c r="D1169" s="1" t="s">
        <v>67</v>
      </c>
      <c r="E1169" s="11" t="s">
        <v>51</v>
      </c>
      <c r="F1169" s="12">
        <v>45962</v>
      </c>
      <c r="G1169" s="1" t="s">
        <v>22</v>
      </c>
      <c r="H1169" s="1" t="s">
        <v>26</v>
      </c>
      <c r="I1169" s="2">
        <v>1</v>
      </c>
      <c r="J1169" s="3">
        <v>51709</v>
      </c>
      <c r="K1169" s="3">
        <v>51709</v>
      </c>
      <c r="L1169" s="3">
        <v>24864</v>
      </c>
      <c r="M1169" s="3">
        <v>26845</v>
      </c>
      <c r="N1169" s="4">
        <v>11</v>
      </c>
    </row>
    <row r="1170" spans="1:14" x14ac:dyDescent="0.25">
      <c r="A1170" s="2">
        <v>5</v>
      </c>
      <c r="B1170" s="1" t="s">
        <v>65</v>
      </c>
      <c r="C1170" s="1" t="s">
        <v>66</v>
      </c>
      <c r="D1170" s="1" t="s">
        <v>68</v>
      </c>
      <c r="E1170" s="11" t="s">
        <v>51</v>
      </c>
      <c r="F1170" s="12">
        <v>45962</v>
      </c>
      <c r="G1170" s="1" t="s">
        <v>27</v>
      </c>
      <c r="H1170" s="1" t="s">
        <v>28</v>
      </c>
      <c r="I1170" s="2">
        <v>14</v>
      </c>
      <c r="J1170" s="3">
        <v>134444</v>
      </c>
      <c r="K1170" s="3">
        <v>1882216</v>
      </c>
      <c r="L1170" s="3">
        <v>1122577</v>
      </c>
      <c r="M1170" s="3">
        <v>759639</v>
      </c>
      <c r="N1170" s="4">
        <v>6</v>
      </c>
    </row>
    <row r="1171" spans="1:14" x14ac:dyDescent="0.25">
      <c r="A1171" s="2">
        <v>5</v>
      </c>
      <c r="B1171" s="1" t="s">
        <v>65</v>
      </c>
      <c r="C1171" s="1" t="s">
        <v>66</v>
      </c>
      <c r="D1171" s="1" t="s">
        <v>67</v>
      </c>
      <c r="E1171" s="11" t="s">
        <v>51</v>
      </c>
      <c r="F1171" s="12">
        <v>45962</v>
      </c>
      <c r="G1171" s="1" t="s">
        <v>27</v>
      </c>
      <c r="H1171" s="1" t="s">
        <v>29</v>
      </c>
      <c r="I1171" s="2">
        <v>10</v>
      </c>
      <c r="J1171" s="3">
        <v>72198</v>
      </c>
      <c r="K1171" s="3">
        <v>721980</v>
      </c>
      <c r="L1171" s="3">
        <v>457040</v>
      </c>
      <c r="M1171" s="3">
        <v>264940</v>
      </c>
      <c r="N1171" s="4">
        <v>14</v>
      </c>
    </row>
    <row r="1172" spans="1:14" x14ac:dyDescent="0.25">
      <c r="A1172" s="2">
        <v>5</v>
      </c>
      <c r="B1172" s="1" t="s">
        <v>65</v>
      </c>
      <c r="C1172" s="1" t="s">
        <v>66</v>
      </c>
      <c r="D1172" s="1" t="s">
        <v>68</v>
      </c>
      <c r="E1172" s="11" t="s">
        <v>51</v>
      </c>
      <c r="F1172" s="12">
        <v>45962</v>
      </c>
      <c r="G1172" s="1" t="s">
        <v>27</v>
      </c>
      <c r="H1172" s="1" t="s">
        <v>30</v>
      </c>
      <c r="I1172" s="2">
        <v>4</v>
      </c>
      <c r="J1172" s="3">
        <v>44031</v>
      </c>
      <c r="K1172" s="3">
        <v>176124</v>
      </c>
      <c r="L1172" s="3">
        <v>110650</v>
      </c>
      <c r="M1172" s="3">
        <v>65474</v>
      </c>
      <c r="N1172" s="4">
        <v>5</v>
      </c>
    </row>
    <row r="1173" spans="1:14" x14ac:dyDescent="0.25">
      <c r="A1173" s="2">
        <v>5</v>
      </c>
      <c r="B1173" s="1" t="s">
        <v>65</v>
      </c>
      <c r="C1173" s="1" t="s">
        <v>66</v>
      </c>
      <c r="D1173" s="1" t="s">
        <v>67</v>
      </c>
      <c r="E1173" s="11" t="s">
        <v>51</v>
      </c>
      <c r="F1173" s="12">
        <v>45962</v>
      </c>
      <c r="G1173" s="1" t="s">
        <v>27</v>
      </c>
      <c r="H1173" s="1" t="s">
        <v>31</v>
      </c>
      <c r="I1173" s="2">
        <v>5</v>
      </c>
      <c r="J1173" s="3">
        <v>42867</v>
      </c>
      <c r="K1173" s="3">
        <v>214335</v>
      </c>
      <c r="L1173" s="3">
        <v>109418</v>
      </c>
      <c r="M1173" s="3">
        <v>104917</v>
      </c>
      <c r="N1173" s="4">
        <v>11</v>
      </c>
    </row>
    <row r="1174" spans="1:14" x14ac:dyDescent="0.25">
      <c r="A1174" s="2">
        <v>5</v>
      </c>
      <c r="B1174" s="1" t="s">
        <v>65</v>
      </c>
      <c r="C1174" s="1" t="s">
        <v>66</v>
      </c>
      <c r="D1174" s="1" t="s">
        <v>67</v>
      </c>
      <c r="E1174" s="11" t="s">
        <v>51</v>
      </c>
      <c r="F1174" s="12">
        <v>45962</v>
      </c>
      <c r="G1174" s="1" t="s">
        <v>32</v>
      </c>
      <c r="H1174" s="1" t="s">
        <v>33</v>
      </c>
      <c r="I1174" s="2">
        <v>8</v>
      </c>
      <c r="J1174" s="3">
        <v>13960</v>
      </c>
      <c r="K1174" s="3">
        <v>111680</v>
      </c>
      <c r="L1174" s="3">
        <v>60217</v>
      </c>
      <c r="M1174" s="3">
        <v>51463</v>
      </c>
      <c r="N1174" s="4">
        <v>5</v>
      </c>
    </row>
    <row r="1175" spans="1:14" x14ac:dyDescent="0.25">
      <c r="A1175" s="2">
        <v>5</v>
      </c>
      <c r="B1175" s="1" t="s">
        <v>65</v>
      </c>
      <c r="C1175" s="1" t="s">
        <v>66</v>
      </c>
      <c r="D1175" s="1" t="s">
        <v>68</v>
      </c>
      <c r="E1175" s="11" t="s">
        <v>51</v>
      </c>
      <c r="F1175" s="12">
        <v>45962</v>
      </c>
      <c r="G1175" s="1" t="s">
        <v>32</v>
      </c>
      <c r="H1175" s="1" t="s">
        <v>34</v>
      </c>
      <c r="I1175" s="2">
        <v>6</v>
      </c>
      <c r="J1175" s="3">
        <v>9500</v>
      </c>
      <c r="K1175" s="3">
        <v>57000</v>
      </c>
      <c r="L1175" s="3">
        <v>37992</v>
      </c>
      <c r="M1175" s="3">
        <v>19008</v>
      </c>
      <c r="N1175" s="4">
        <v>14</v>
      </c>
    </row>
    <row r="1176" spans="1:14" x14ac:dyDescent="0.25">
      <c r="A1176" s="2">
        <v>5</v>
      </c>
      <c r="B1176" s="1" t="s">
        <v>65</v>
      </c>
      <c r="C1176" s="1" t="s">
        <v>66</v>
      </c>
      <c r="D1176" s="1" t="s">
        <v>67</v>
      </c>
      <c r="E1176" s="11" t="s">
        <v>51</v>
      </c>
      <c r="F1176" s="12">
        <v>45962</v>
      </c>
      <c r="G1176" s="1" t="s">
        <v>32</v>
      </c>
      <c r="H1176" s="1" t="s">
        <v>35</v>
      </c>
      <c r="I1176" s="2">
        <v>5</v>
      </c>
      <c r="J1176" s="3">
        <v>7875</v>
      </c>
      <c r="K1176" s="3">
        <v>39375</v>
      </c>
      <c r="L1176" s="3">
        <v>16210</v>
      </c>
      <c r="M1176" s="3">
        <v>23165</v>
      </c>
      <c r="N1176" s="4">
        <v>1</v>
      </c>
    </row>
    <row r="1177" spans="1:14" x14ac:dyDescent="0.25">
      <c r="A1177" s="2">
        <v>5</v>
      </c>
      <c r="B1177" s="1" t="s">
        <v>65</v>
      </c>
      <c r="C1177" s="1" t="s">
        <v>66</v>
      </c>
      <c r="D1177" s="1" t="s">
        <v>67</v>
      </c>
      <c r="E1177" s="11" t="s">
        <v>51</v>
      </c>
      <c r="F1177" s="12">
        <v>45962</v>
      </c>
      <c r="G1177" s="1" t="s">
        <v>32</v>
      </c>
      <c r="H1177" s="1" t="s">
        <v>36</v>
      </c>
      <c r="I1177" s="2">
        <v>16</v>
      </c>
      <c r="J1177" s="3">
        <v>16141</v>
      </c>
      <c r="K1177" s="3">
        <v>258256</v>
      </c>
      <c r="L1177" s="3">
        <v>136538</v>
      </c>
      <c r="M1177" s="3">
        <v>121718</v>
      </c>
      <c r="N1177" s="4">
        <v>13</v>
      </c>
    </row>
    <row r="1178" spans="1:14" x14ac:dyDescent="0.25">
      <c r="A1178" s="2">
        <v>5</v>
      </c>
      <c r="B1178" s="1" t="s">
        <v>65</v>
      </c>
      <c r="C1178" s="1" t="s">
        <v>66</v>
      </c>
      <c r="D1178" s="1" t="s">
        <v>67</v>
      </c>
      <c r="E1178" s="11" t="s">
        <v>51</v>
      </c>
      <c r="F1178" s="12">
        <v>45962</v>
      </c>
      <c r="G1178" s="1" t="s">
        <v>37</v>
      </c>
      <c r="H1178" s="1" t="s">
        <v>38</v>
      </c>
      <c r="I1178" s="2">
        <v>8</v>
      </c>
      <c r="J1178" s="3">
        <v>118046</v>
      </c>
      <c r="K1178" s="3">
        <v>944368</v>
      </c>
      <c r="L1178" s="3">
        <v>632998</v>
      </c>
      <c r="M1178" s="3">
        <v>311370</v>
      </c>
      <c r="N1178" s="4">
        <v>7</v>
      </c>
    </row>
    <row r="1179" spans="1:14" x14ac:dyDescent="0.25">
      <c r="A1179" s="2">
        <v>5</v>
      </c>
      <c r="B1179" s="1" t="s">
        <v>65</v>
      </c>
      <c r="C1179" s="1" t="s">
        <v>66</v>
      </c>
      <c r="D1179" s="1" t="s">
        <v>68</v>
      </c>
      <c r="E1179" s="11" t="s">
        <v>51</v>
      </c>
      <c r="F1179" s="12">
        <v>45962</v>
      </c>
      <c r="G1179" s="1" t="s">
        <v>37</v>
      </c>
      <c r="H1179" s="1" t="s">
        <v>39</v>
      </c>
      <c r="I1179" s="2">
        <v>13</v>
      </c>
      <c r="J1179" s="3">
        <v>48901</v>
      </c>
      <c r="K1179" s="3">
        <v>635713</v>
      </c>
      <c r="L1179" s="3">
        <v>272274</v>
      </c>
      <c r="M1179" s="3">
        <v>363439</v>
      </c>
      <c r="N1179" s="4">
        <v>7</v>
      </c>
    </row>
    <row r="1180" spans="1:14" x14ac:dyDescent="0.25">
      <c r="A1180" s="2">
        <v>5</v>
      </c>
      <c r="B1180" s="1" t="s">
        <v>65</v>
      </c>
      <c r="C1180" s="1" t="s">
        <v>66</v>
      </c>
      <c r="D1180" s="1" t="s">
        <v>68</v>
      </c>
      <c r="E1180" s="11" t="s">
        <v>51</v>
      </c>
      <c r="F1180" s="12">
        <v>45962</v>
      </c>
      <c r="G1180" s="1" t="s">
        <v>37</v>
      </c>
      <c r="H1180" s="1" t="s">
        <v>40</v>
      </c>
      <c r="I1180" s="2">
        <v>11</v>
      </c>
      <c r="J1180" s="3">
        <v>70357</v>
      </c>
      <c r="K1180" s="3">
        <v>773927</v>
      </c>
      <c r="L1180" s="3">
        <v>473683</v>
      </c>
      <c r="M1180" s="3">
        <v>300244</v>
      </c>
      <c r="N1180" s="4">
        <v>5</v>
      </c>
    </row>
    <row r="1181" spans="1:14" x14ac:dyDescent="0.25">
      <c r="A1181" s="2">
        <v>5</v>
      </c>
      <c r="B1181" s="1" t="s">
        <v>65</v>
      </c>
      <c r="C1181" s="1" t="s">
        <v>66</v>
      </c>
      <c r="D1181" s="1" t="s">
        <v>68</v>
      </c>
      <c r="E1181" s="11" t="s">
        <v>51</v>
      </c>
      <c r="F1181" s="12">
        <v>45962</v>
      </c>
      <c r="G1181" s="1" t="s">
        <v>37</v>
      </c>
      <c r="H1181" s="1" t="s">
        <v>41</v>
      </c>
      <c r="I1181" s="2">
        <v>16</v>
      </c>
      <c r="J1181" s="3">
        <v>116282</v>
      </c>
      <c r="K1181" s="3">
        <v>1860512</v>
      </c>
      <c r="L1181" s="3">
        <v>1301740</v>
      </c>
      <c r="M1181" s="3">
        <v>558772</v>
      </c>
      <c r="N1181" s="4">
        <v>10</v>
      </c>
    </row>
    <row r="1182" spans="1:14" x14ac:dyDescent="0.25">
      <c r="A1182" s="2">
        <v>5</v>
      </c>
      <c r="B1182" s="1" t="s">
        <v>65</v>
      </c>
      <c r="C1182" s="1" t="s">
        <v>66</v>
      </c>
      <c r="D1182" s="1" t="s">
        <v>68</v>
      </c>
      <c r="E1182" s="11" t="s">
        <v>52</v>
      </c>
      <c r="F1182" s="12">
        <v>45992</v>
      </c>
      <c r="G1182" s="1" t="s">
        <v>16</v>
      </c>
      <c r="H1182" s="1" t="s">
        <v>17</v>
      </c>
      <c r="I1182" s="2">
        <v>10</v>
      </c>
      <c r="J1182" s="3">
        <v>70626</v>
      </c>
      <c r="K1182" s="3">
        <v>706260</v>
      </c>
      <c r="L1182" s="3">
        <v>493879</v>
      </c>
      <c r="M1182" s="3">
        <v>212381</v>
      </c>
      <c r="N1182" s="4">
        <v>2</v>
      </c>
    </row>
    <row r="1183" spans="1:14" x14ac:dyDescent="0.25">
      <c r="A1183" s="2">
        <v>5</v>
      </c>
      <c r="B1183" s="1" t="s">
        <v>65</v>
      </c>
      <c r="C1183" s="1" t="s">
        <v>66</v>
      </c>
      <c r="D1183" s="1" t="s">
        <v>68</v>
      </c>
      <c r="E1183" s="11" t="s">
        <v>52</v>
      </c>
      <c r="F1183" s="12">
        <v>45992</v>
      </c>
      <c r="G1183" s="1" t="s">
        <v>16</v>
      </c>
      <c r="H1183" s="1" t="s">
        <v>19</v>
      </c>
      <c r="I1183" s="2">
        <v>15</v>
      </c>
      <c r="J1183" s="3">
        <v>80815</v>
      </c>
      <c r="K1183" s="3">
        <v>1212225</v>
      </c>
      <c r="L1183" s="3">
        <v>634426</v>
      </c>
      <c r="M1183" s="3">
        <v>577799</v>
      </c>
      <c r="N1183" s="4">
        <v>0</v>
      </c>
    </row>
    <row r="1184" spans="1:14" x14ac:dyDescent="0.25">
      <c r="A1184" s="2">
        <v>5</v>
      </c>
      <c r="B1184" s="1" t="s">
        <v>65</v>
      </c>
      <c r="C1184" s="1" t="s">
        <v>66</v>
      </c>
      <c r="D1184" s="1" t="s">
        <v>67</v>
      </c>
      <c r="E1184" s="11" t="s">
        <v>52</v>
      </c>
      <c r="F1184" s="12">
        <v>45992</v>
      </c>
      <c r="G1184" s="1" t="s">
        <v>16</v>
      </c>
      <c r="H1184" s="1" t="s">
        <v>20</v>
      </c>
      <c r="I1184" s="2">
        <v>3</v>
      </c>
      <c r="J1184" s="3">
        <v>131603</v>
      </c>
      <c r="K1184" s="3">
        <v>394809</v>
      </c>
      <c r="L1184" s="3">
        <v>263540</v>
      </c>
      <c r="M1184" s="3">
        <v>131269</v>
      </c>
      <c r="N1184" s="4">
        <v>4</v>
      </c>
    </row>
    <row r="1185" spans="1:14" x14ac:dyDescent="0.25">
      <c r="A1185" s="2">
        <v>5</v>
      </c>
      <c r="B1185" s="1" t="s">
        <v>65</v>
      </c>
      <c r="C1185" s="1" t="s">
        <v>66</v>
      </c>
      <c r="D1185" s="1" t="s">
        <v>68</v>
      </c>
      <c r="E1185" s="11" t="s">
        <v>52</v>
      </c>
      <c r="F1185" s="12">
        <v>45992</v>
      </c>
      <c r="G1185" s="1" t="s">
        <v>16</v>
      </c>
      <c r="H1185" s="1" t="s">
        <v>21</v>
      </c>
      <c r="I1185" s="2">
        <v>19</v>
      </c>
      <c r="J1185" s="3">
        <v>45525</v>
      </c>
      <c r="K1185" s="3">
        <v>864975</v>
      </c>
      <c r="L1185" s="3">
        <v>492909</v>
      </c>
      <c r="M1185" s="3">
        <v>372066</v>
      </c>
      <c r="N1185" s="4">
        <v>14</v>
      </c>
    </row>
    <row r="1186" spans="1:14" x14ac:dyDescent="0.25">
      <c r="A1186" s="2">
        <v>5</v>
      </c>
      <c r="B1186" s="1" t="s">
        <v>65</v>
      </c>
      <c r="C1186" s="1" t="s">
        <v>66</v>
      </c>
      <c r="D1186" s="1" t="s">
        <v>68</v>
      </c>
      <c r="E1186" s="11" t="s">
        <v>52</v>
      </c>
      <c r="F1186" s="12">
        <v>45992</v>
      </c>
      <c r="G1186" s="1" t="s">
        <v>22</v>
      </c>
      <c r="H1186" s="1" t="s">
        <v>23</v>
      </c>
      <c r="I1186" s="2">
        <v>16</v>
      </c>
      <c r="J1186" s="3">
        <v>26644</v>
      </c>
      <c r="K1186" s="3">
        <v>426304</v>
      </c>
      <c r="L1186" s="3">
        <v>200194</v>
      </c>
      <c r="M1186" s="3">
        <v>226110</v>
      </c>
      <c r="N1186" s="4">
        <v>5</v>
      </c>
    </row>
    <row r="1187" spans="1:14" x14ac:dyDescent="0.25">
      <c r="A1187" s="2">
        <v>5</v>
      </c>
      <c r="B1187" s="1" t="s">
        <v>65</v>
      </c>
      <c r="C1187" s="1" t="s">
        <v>66</v>
      </c>
      <c r="D1187" s="1" t="s">
        <v>68</v>
      </c>
      <c r="E1187" s="11" t="s">
        <v>52</v>
      </c>
      <c r="F1187" s="12">
        <v>45992</v>
      </c>
      <c r="G1187" s="1" t="s">
        <v>22</v>
      </c>
      <c r="H1187" s="1" t="s">
        <v>24</v>
      </c>
      <c r="I1187" s="2">
        <v>14</v>
      </c>
      <c r="J1187" s="3">
        <v>53687</v>
      </c>
      <c r="K1187" s="3">
        <v>751618</v>
      </c>
      <c r="L1187" s="3">
        <v>441292</v>
      </c>
      <c r="M1187" s="3">
        <v>310326</v>
      </c>
      <c r="N1187" s="4">
        <v>3</v>
      </c>
    </row>
    <row r="1188" spans="1:14" x14ac:dyDescent="0.25">
      <c r="A1188" s="2">
        <v>5</v>
      </c>
      <c r="B1188" s="1" t="s">
        <v>65</v>
      </c>
      <c r="C1188" s="1" t="s">
        <v>66</v>
      </c>
      <c r="D1188" s="1" t="s">
        <v>68</v>
      </c>
      <c r="E1188" s="11" t="s">
        <v>52</v>
      </c>
      <c r="F1188" s="12">
        <v>45992</v>
      </c>
      <c r="G1188" s="1" t="s">
        <v>22</v>
      </c>
      <c r="H1188" s="1" t="s">
        <v>25</v>
      </c>
      <c r="I1188" s="2">
        <v>15</v>
      </c>
      <c r="J1188" s="3">
        <v>56607</v>
      </c>
      <c r="K1188" s="3">
        <v>849105</v>
      </c>
      <c r="L1188" s="3">
        <v>497454</v>
      </c>
      <c r="M1188" s="3">
        <v>351651</v>
      </c>
      <c r="N1188" s="4">
        <v>2</v>
      </c>
    </row>
    <row r="1189" spans="1:14" x14ac:dyDescent="0.25">
      <c r="A1189" s="2">
        <v>5</v>
      </c>
      <c r="B1189" s="1" t="s">
        <v>65</v>
      </c>
      <c r="C1189" s="1" t="s">
        <v>66</v>
      </c>
      <c r="D1189" s="1" t="s">
        <v>67</v>
      </c>
      <c r="E1189" s="11" t="s">
        <v>52</v>
      </c>
      <c r="F1189" s="12">
        <v>45992</v>
      </c>
      <c r="G1189" s="1" t="s">
        <v>22</v>
      </c>
      <c r="H1189" s="1" t="s">
        <v>26</v>
      </c>
      <c r="I1189" s="2">
        <v>3</v>
      </c>
      <c r="J1189" s="3">
        <v>66287</v>
      </c>
      <c r="K1189" s="3">
        <v>198861</v>
      </c>
      <c r="L1189" s="3">
        <v>104291</v>
      </c>
      <c r="M1189" s="3">
        <v>94570</v>
      </c>
      <c r="N1189" s="4">
        <v>12</v>
      </c>
    </row>
    <row r="1190" spans="1:14" x14ac:dyDescent="0.25">
      <c r="A1190" s="2">
        <v>5</v>
      </c>
      <c r="B1190" s="1" t="s">
        <v>65</v>
      </c>
      <c r="C1190" s="1" t="s">
        <v>66</v>
      </c>
      <c r="D1190" s="1" t="s">
        <v>67</v>
      </c>
      <c r="E1190" s="11" t="s">
        <v>52</v>
      </c>
      <c r="F1190" s="12">
        <v>45992</v>
      </c>
      <c r="G1190" s="1" t="s">
        <v>27</v>
      </c>
      <c r="H1190" s="1" t="s">
        <v>28</v>
      </c>
      <c r="I1190" s="2">
        <v>10</v>
      </c>
      <c r="J1190" s="3">
        <v>147314</v>
      </c>
      <c r="K1190" s="3">
        <v>1473140</v>
      </c>
      <c r="L1190" s="3">
        <v>846002</v>
      </c>
      <c r="M1190" s="3">
        <v>627138</v>
      </c>
      <c r="N1190" s="4">
        <v>12</v>
      </c>
    </row>
    <row r="1191" spans="1:14" x14ac:dyDescent="0.25">
      <c r="A1191" s="2">
        <v>5</v>
      </c>
      <c r="B1191" s="1" t="s">
        <v>65</v>
      </c>
      <c r="C1191" s="1" t="s">
        <v>66</v>
      </c>
      <c r="D1191" s="1" t="s">
        <v>68</v>
      </c>
      <c r="E1191" s="11" t="s">
        <v>52</v>
      </c>
      <c r="F1191" s="12">
        <v>45992</v>
      </c>
      <c r="G1191" s="1" t="s">
        <v>27</v>
      </c>
      <c r="H1191" s="1" t="s">
        <v>29</v>
      </c>
      <c r="I1191" s="2">
        <v>19</v>
      </c>
      <c r="J1191" s="3">
        <v>30922</v>
      </c>
      <c r="K1191" s="3">
        <v>587518</v>
      </c>
      <c r="L1191" s="3">
        <v>354177</v>
      </c>
      <c r="M1191" s="3">
        <v>233341</v>
      </c>
      <c r="N1191" s="4">
        <v>12</v>
      </c>
    </row>
    <row r="1192" spans="1:14" x14ac:dyDescent="0.25">
      <c r="A1192" s="2">
        <v>5</v>
      </c>
      <c r="B1192" s="1" t="s">
        <v>65</v>
      </c>
      <c r="C1192" s="1" t="s">
        <v>66</v>
      </c>
      <c r="D1192" s="1" t="s">
        <v>68</v>
      </c>
      <c r="E1192" s="11" t="s">
        <v>52</v>
      </c>
      <c r="F1192" s="12">
        <v>45992</v>
      </c>
      <c r="G1192" s="1" t="s">
        <v>27</v>
      </c>
      <c r="H1192" s="1" t="s">
        <v>30</v>
      </c>
      <c r="I1192" s="2">
        <v>11</v>
      </c>
      <c r="J1192" s="3">
        <v>76984</v>
      </c>
      <c r="K1192" s="3">
        <v>846824</v>
      </c>
      <c r="L1192" s="3">
        <v>396874</v>
      </c>
      <c r="M1192" s="3">
        <v>449950</v>
      </c>
      <c r="N1192" s="4">
        <v>2</v>
      </c>
    </row>
    <row r="1193" spans="1:14" x14ac:dyDescent="0.25">
      <c r="A1193" s="2">
        <v>5</v>
      </c>
      <c r="B1193" s="1" t="s">
        <v>65</v>
      </c>
      <c r="C1193" s="1" t="s">
        <v>66</v>
      </c>
      <c r="D1193" s="1" t="s">
        <v>67</v>
      </c>
      <c r="E1193" s="11" t="s">
        <v>52</v>
      </c>
      <c r="F1193" s="12">
        <v>45992</v>
      </c>
      <c r="G1193" s="1" t="s">
        <v>27</v>
      </c>
      <c r="H1193" s="1" t="s">
        <v>31</v>
      </c>
      <c r="I1193" s="2">
        <v>11</v>
      </c>
      <c r="J1193" s="3">
        <v>25741</v>
      </c>
      <c r="K1193" s="3">
        <v>283151</v>
      </c>
      <c r="L1193" s="3">
        <v>144816</v>
      </c>
      <c r="M1193" s="3">
        <v>138335</v>
      </c>
      <c r="N1193" s="4">
        <v>11</v>
      </c>
    </row>
    <row r="1194" spans="1:14" x14ac:dyDescent="0.25">
      <c r="A1194" s="2">
        <v>5</v>
      </c>
      <c r="B1194" s="1" t="s">
        <v>65</v>
      </c>
      <c r="C1194" s="1" t="s">
        <v>66</v>
      </c>
      <c r="D1194" s="1" t="s">
        <v>68</v>
      </c>
      <c r="E1194" s="11" t="s">
        <v>52</v>
      </c>
      <c r="F1194" s="12">
        <v>45992</v>
      </c>
      <c r="G1194" s="1" t="s">
        <v>32</v>
      </c>
      <c r="H1194" s="1" t="s">
        <v>33</v>
      </c>
      <c r="I1194" s="2">
        <v>5</v>
      </c>
      <c r="J1194" s="3">
        <v>8262</v>
      </c>
      <c r="K1194" s="3">
        <v>41310</v>
      </c>
      <c r="L1194" s="3">
        <v>19146</v>
      </c>
      <c r="M1194" s="3">
        <v>22164</v>
      </c>
      <c r="N1194" s="4">
        <v>2</v>
      </c>
    </row>
    <row r="1195" spans="1:14" x14ac:dyDescent="0.25">
      <c r="A1195" s="2">
        <v>5</v>
      </c>
      <c r="B1195" s="1" t="s">
        <v>65</v>
      </c>
      <c r="C1195" s="1" t="s">
        <v>66</v>
      </c>
      <c r="D1195" s="1" t="s">
        <v>67</v>
      </c>
      <c r="E1195" s="11" t="s">
        <v>52</v>
      </c>
      <c r="F1195" s="12">
        <v>45992</v>
      </c>
      <c r="G1195" s="1" t="s">
        <v>32</v>
      </c>
      <c r="H1195" s="1" t="s">
        <v>34</v>
      </c>
      <c r="I1195" s="2">
        <v>12</v>
      </c>
      <c r="J1195" s="3">
        <v>18873</v>
      </c>
      <c r="K1195" s="3">
        <v>226476</v>
      </c>
      <c r="L1195" s="3">
        <v>134719</v>
      </c>
      <c r="M1195" s="3">
        <v>91757</v>
      </c>
      <c r="N1195" s="4">
        <v>0</v>
      </c>
    </row>
    <row r="1196" spans="1:14" x14ac:dyDescent="0.25">
      <c r="A1196" s="2">
        <v>5</v>
      </c>
      <c r="B1196" s="1" t="s">
        <v>65</v>
      </c>
      <c r="C1196" s="1" t="s">
        <v>66</v>
      </c>
      <c r="D1196" s="1" t="s">
        <v>68</v>
      </c>
      <c r="E1196" s="11" t="s">
        <v>52</v>
      </c>
      <c r="F1196" s="12">
        <v>45992</v>
      </c>
      <c r="G1196" s="1" t="s">
        <v>32</v>
      </c>
      <c r="H1196" s="1" t="s">
        <v>35</v>
      </c>
      <c r="I1196" s="2">
        <v>10</v>
      </c>
      <c r="J1196" s="3">
        <v>8539</v>
      </c>
      <c r="K1196" s="3">
        <v>85390</v>
      </c>
      <c r="L1196" s="3">
        <v>58234</v>
      </c>
      <c r="M1196" s="3">
        <v>27156</v>
      </c>
      <c r="N1196" s="4">
        <v>13</v>
      </c>
    </row>
    <row r="1197" spans="1:14" x14ac:dyDescent="0.25">
      <c r="A1197" s="2">
        <v>5</v>
      </c>
      <c r="B1197" s="1" t="s">
        <v>65</v>
      </c>
      <c r="C1197" s="1" t="s">
        <v>66</v>
      </c>
      <c r="D1197" s="1" t="s">
        <v>67</v>
      </c>
      <c r="E1197" s="11" t="s">
        <v>52</v>
      </c>
      <c r="F1197" s="12">
        <v>45992</v>
      </c>
      <c r="G1197" s="1" t="s">
        <v>32</v>
      </c>
      <c r="H1197" s="1" t="s">
        <v>36</v>
      </c>
      <c r="I1197" s="2">
        <v>11</v>
      </c>
      <c r="J1197" s="3">
        <v>9383</v>
      </c>
      <c r="K1197" s="3">
        <v>103213</v>
      </c>
      <c r="L1197" s="3">
        <v>55366</v>
      </c>
      <c r="M1197" s="3">
        <v>47847</v>
      </c>
      <c r="N1197" s="4">
        <v>1</v>
      </c>
    </row>
    <row r="1198" spans="1:14" x14ac:dyDescent="0.25">
      <c r="A1198" s="2">
        <v>5</v>
      </c>
      <c r="B1198" s="1" t="s">
        <v>65</v>
      </c>
      <c r="C1198" s="1" t="s">
        <v>66</v>
      </c>
      <c r="D1198" s="1" t="s">
        <v>67</v>
      </c>
      <c r="E1198" s="11" t="s">
        <v>52</v>
      </c>
      <c r="F1198" s="12">
        <v>45992</v>
      </c>
      <c r="G1198" s="1" t="s">
        <v>37</v>
      </c>
      <c r="H1198" s="1" t="s">
        <v>38</v>
      </c>
      <c r="I1198" s="2">
        <v>18</v>
      </c>
      <c r="J1198" s="3">
        <v>92567</v>
      </c>
      <c r="K1198" s="3">
        <v>1666206</v>
      </c>
      <c r="L1198" s="3">
        <v>1137198</v>
      </c>
      <c r="M1198" s="3">
        <v>529008</v>
      </c>
      <c r="N1198" s="4">
        <v>4</v>
      </c>
    </row>
    <row r="1199" spans="1:14" x14ac:dyDescent="0.25">
      <c r="A1199" s="2">
        <v>5</v>
      </c>
      <c r="B1199" s="1" t="s">
        <v>65</v>
      </c>
      <c r="C1199" s="1" t="s">
        <v>66</v>
      </c>
      <c r="D1199" s="1" t="s">
        <v>67</v>
      </c>
      <c r="E1199" s="11" t="s">
        <v>52</v>
      </c>
      <c r="F1199" s="12">
        <v>45992</v>
      </c>
      <c r="G1199" s="1" t="s">
        <v>37</v>
      </c>
      <c r="H1199" s="1" t="s">
        <v>39</v>
      </c>
      <c r="I1199" s="2">
        <v>12</v>
      </c>
      <c r="J1199" s="3">
        <v>122020</v>
      </c>
      <c r="K1199" s="3">
        <v>1464240</v>
      </c>
      <c r="L1199" s="3">
        <v>609588</v>
      </c>
      <c r="M1199" s="3">
        <v>854652</v>
      </c>
      <c r="N1199" s="4">
        <v>10</v>
      </c>
    </row>
    <row r="1200" spans="1:14" x14ac:dyDescent="0.25">
      <c r="A1200" s="2">
        <v>5</v>
      </c>
      <c r="B1200" s="1" t="s">
        <v>65</v>
      </c>
      <c r="C1200" s="1" t="s">
        <v>66</v>
      </c>
      <c r="D1200" s="1" t="s">
        <v>67</v>
      </c>
      <c r="E1200" s="11" t="s">
        <v>52</v>
      </c>
      <c r="F1200" s="12">
        <v>45992</v>
      </c>
      <c r="G1200" s="1" t="s">
        <v>37</v>
      </c>
      <c r="H1200" s="1" t="s">
        <v>40</v>
      </c>
      <c r="I1200" s="2">
        <v>9</v>
      </c>
      <c r="J1200" s="3">
        <v>49877</v>
      </c>
      <c r="K1200" s="3">
        <v>448893</v>
      </c>
      <c r="L1200" s="3">
        <v>216629</v>
      </c>
      <c r="M1200" s="3">
        <v>232264</v>
      </c>
      <c r="N1200" s="4">
        <v>2</v>
      </c>
    </row>
    <row r="1201" spans="1:14" x14ac:dyDescent="0.25">
      <c r="A1201" s="2">
        <v>5</v>
      </c>
      <c r="B1201" s="1" t="s">
        <v>65</v>
      </c>
      <c r="C1201" s="1" t="s">
        <v>66</v>
      </c>
      <c r="D1201" s="1" t="s">
        <v>67</v>
      </c>
      <c r="E1201" s="11" t="s">
        <v>52</v>
      </c>
      <c r="F1201" s="12">
        <v>45992</v>
      </c>
      <c r="G1201" s="1" t="s">
        <v>37</v>
      </c>
      <c r="H1201" s="1" t="s">
        <v>41</v>
      </c>
      <c r="I1201" s="2">
        <v>1</v>
      </c>
      <c r="J1201" s="3">
        <v>84575</v>
      </c>
      <c r="K1201" s="3">
        <v>84575</v>
      </c>
      <c r="L1201" s="3">
        <v>54388</v>
      </c>
      <c r="M1201" s="3">
        <v>30187</v>
      </c>
      <c r="N1201" s="4">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93971-152B-4099-97A3-3B2F0F2088A6}">
  <dimension ref="A1:G14"/>
  <sheetViews>
    <sheetView workbookViewId="0">
      <selection activeCell="M16" sqref="M16"/>
    </sheetView>
  </sheetViews>
  <sheetFormatPr defaultRowHeight="15" x14ac:dyDescent="0.25"/>
  <cols>
    <col min="1" max="1" width="18.85546875" bestFit="1" customWidth="1"/>
    <col min="2" max="2" width="22.140625" bestFit="1" customWidth="1"/>
  </cols>
  <sheetData>
    <row r="1" spans="1:7" x14ac:dyDescent="0.25">
      <c r="A1" s="16" t="s">
        <v>72</v>
      </c>
      <c r="B1" s="17"/>
      <c r="C1" s="17"/>
      <c r="D1" s="17"/>
      <c r="E1" s="17"/>
      <c r="F1" s="17"/>
      <c r="G1" s="17"/>
    </row>
    <row r="3" spans="1:7" x14ac:dyDescent="0.25">
      <c r="A3" s="5" t="s">
        <v>69</v>
      </c>
      <c r="B3" t="s">
        <v>71</v>
      </c>
    </row>
    <row r="4" spans="1:7" x14ac:dyDescent="0.25">
      <c r="A4" s="6" t="s">
        <v>19</v>
      </c>
      <c r="B4" s="7">
        <v>13219362</v>
      </c>
    </row>
    <row r="5" spans="1:7" x14ac:dyDescent="0.25">
      <c r="A5" s="6" t="s">
        <v>29</v>
      </c>
      <c r="B5" s="7">
        <v>12886718</v>
      </c>
    </row>
    <row r="6" spans="1:7" x14ac:dyDescent="0.25">
      <c r="A6" s="6" t="s">
        <v>38</v>
      </c>
      <c r="B6" s="7">
        <v>12662293</v>
      </c>
    </row>
    <row r="7" spans="1:7" x14ac:dyDescent="0.25">
      <c r="A7" s="6" t="s">
        <v>28</v>
      </c>
      <c r="B7" s="7">
        <v>11759364</v>
      </c>
    </row>
    <row r="8" spans="1:7" x14ac:dyDescent="0.25">
      <c r="A8" s="6" t="s">
        <v>39</v>
      </c>
      <c r="B8" s="7">
        <v>11057808</v>
      </c>
    </row>
    <row r="9" spans="1:7" x14ac:dyDescent="0.25">
      <c r="A9" s="6" t="s">
        <v>31</v>
      </c>
      <c r="B9" s="7">
        <v>10604503</v>
      </c>
    </row>
    <row r="10" spans="1:7" x14ac:dyDescent="0.25">
      <c r="A10" s="6" t="s">
        <v>17</v>
      </c>
      <c r="B10" s="7">
        <v>10064123</v>
      </c>
    </row>
    <row r="11" spans="1:7" x14ac:dyDescent="0.25">
      <c r="A11" s="6" t="s">
        <v>21</v>
      </c>
      <c r="B11" s="7">
        <v>10000065</v>
      </c>
    </row>
    <row r="12" spans="1:7" x14ac:dyDescent="0.25">
      <c r="A12" s="6" t="s">
        <v>30</v>
      </c>
      <c r="B12" s="7">
        <v>9644645</v>
      </c>
    </row>
    <row r="13" spans="1:7" x14ac:dyDescent="0.25">
      <c r="A13" s="6" t="s">
        <v>25</v>
      </c>
      <c r="B13" s="7">
        <v>9448458</v>
      </c>
    </row>
    <row r="14" spans="1:7" x14ac:dyDescent="0.25">
      <c r="A14" s="6" t="s">
        <v>70</v>
      </c>
      <c r="B14" s="7">
        <v>111347339</v>
      </c>
    </row>
  </sheetData>
  <mergeCells count="1">
    <mergeCell ref="A1:G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65E21-96F5-4F4D-8703-DF06981E525B}">
  <dimension ref="A1:C9"/>
  <sheetViews>
    <sheetView workbookViewId="0">
      <selection activeCell="P11" sqref="P11"/>
    </sheetView>
  </sheetViews>
  <sheetFormatPr defaultRowHeight="15" x14ac:dyDescent="0.25"/>
  <cols>
    <col min="1" max="1" width="19.140625" bestFit="1" customWidth="1"/>
    <col min="2" max="2" width="22.140625" bestFit="1" customWidth="1"/>
    <col min="3" max="3" width="20.140625" bestFit="1" customWidth="1"/>
  </cols>
  <sheetData>
    <row r="1" spans="1:3" x14ac:dyDescent="0.25">
      <c r="A1" s="9" t="s">
        <v>75</v>
      </c>
    </row>
    <row r="3" spans="1:3" x14ac:dyDescent="0.25">
      <c r="A3" s="5" t="s">
        <v>69</v>
      </c>
      <c r="B3" t="s">
        <v>71</v>
      </c>
      <c r="C3" t="s">
        <v>74</v>
      </c>
    </row>
    <row r="4" spans="1:3" x14ac:dyDescent="0.25">
      <c r="A4" s="6" t="s">
        <v>57</v>
      </c>
      <c r="B4" s="8">
        <v>179450120</v>
      </c>
      <c r="C4" s="8">
        <v>81534085</v>
      </c>
    </row>
    <row r="5" spans="1:3" x14ac:dyDescent="0.25">
      <c r="A5" s="6" t="s">
        <v>53</v>
      </c>
      <c r="B5" s="8">
        <v>179114592</v>
      </c>
      <c r="C5" s="8">
        <v>80264551</v>
      </c>
    </row>
    <row r="6" spans="1:3" x14ac:dyDescent="0.25">
      <c r="A6" s="6" t="s">
        <v>61</v>
      </c>
      <c r="B6" s="8">
        <v>167120750</v>
      </c>
      <c r="C6" s="8">
        <v>74424192</v>
      </c>
    </row>
    <row r="7" spans="1:3" x14ac:dyDescent="0.25">
      <c r="A7" s="6" t="s">
        <v>65</v>
      </c>
      <c r="B7" s="8">
        <v>162835078</v>
      </c>
      <c r="C7" s="8">
        <v>71068005</v>
      </c>
    </row>
    <row r="8" spans="1:3" x14ac:dyDescent="0.25">
      <c r="A8" s="6" t="s">
        <v>12</v>
      </c>
      <c r="B8" s="8">
        <v>161721072</v>
      </c>
      <c r="C8" s="8">
        <v>72171703</v>
      </c>
    </row>
    <row r="9" spans="1:3" x14ac:dyDescent="0.25">
      <c r="A9" s="6" t="s">
        <v>70</v>
      </c>
      <c r="B9" s="8">
        <v>850241612</v>
      </c>
      <c r="C9" s="8">
        <v>379462536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C4208-80CB-408E-81DC-13D5718BAB81}">
  <dimension ref="A1:V17"/>
  <sheetViews>
    <sheetView workbookViewId="0">
      <selection activeCell="H24" sqref="H24"/>
    </sheetView>
  </sheetViews>
  <sheetFormatPr defaultRowHeight="15" x14ac:dyDescent="0.25"/>
  <cols>
    <col min="1" max="1" width="22.140625" bestFit="1" customWidth="1"/>
    <col min="2" max="2" width="16.28515625" bestFit="1" customWidth="1"/>
    <col min="3" max="3" width="20.42578125" bestFit="1" customWidth="1"/>
    <col min="4" max="4" width="13.7109375" bestFit="1" customWidth="1"/>
    <col min="5" max="5" width="14.85546875" bestFit="1" customWidth="1"/>
    <col min="6" max="6" width="13.85546875" bestFit="1" customWidth="1"/>
    <col min="7" max="7" width="13.5703125" bestFit="1" customWidth="1"/>
    <col min="8" max="9" width="13.42578125" bestFit="1" customWidth="1"/>
    <col min="10" max="10" width="12.28515625" bestFit="1" customWidth="1"/>
    <col min="11" max="11" width="16.5703125" bestFit="1" customWidth="1"/>
    <col min="12" max="12" width="13.42578125" bestFit="1" customWidth="1"/>
    <col min="13" max="13" width="15.5703125" bestFit="1" customWidth="1"/>
    <col min="14" max="14" width="13.42578125" bestFit="1" customWidth="1"/>
    <col min="15" max="15" width="15" bestFit="1" customWidth="1"/>
    <col min="16" max="16" width="19" bestFit="1" customWidth="1"/>
    <col min="17" max="17" width="13.5703125" bestFit="1" customWidth="1"/>
    <col min="18" max="18" width="13.7109375" bestFit="1" customWidth="1"/>
    <col min="19" max="19" width="17.7109375" bestFit="1" customWidth="1"/>
    <col min="20" max="20" width="13.42578125" bestFit="1" customWidth="1"/>
    <col min="21" max="21" width="14.140625" bestFit="1" customWidth="1"/>
    <col min="22" max="22" width="14.42578125" bestFit="1" customWidth="1"/>
  </cols>
  <sheetData>
    <row r="1" spans="1:22" x14ac:dyDescent="0.25">
      <c r="A1" s="5" t="s">
        <v>5</v>
      </c>
      <c r="B1" t="s">
        <v>76</v>
      </c>
      <c r="D1" s="16" t="s">
        <v>77</v>
      </c>
      <c r="E1" s="17"/>
      <c r="F1" s="17"/>
      <c r="G1" s="17"/>
      <c r="H1" s="17"/>
      <c r="I1" s="17"/>
      <c r="J1" s="17"/>
      <c r="K1" s="17"/>
      <c r="L1" s="17"/>
      <c r="M1" s="17"/>
      <c r="N1" s="17"/>
    </row>
    <row r="3" spans="1:22" x14ac:dyDescent="0.25">
      <c r="A3" s="5" t="s">
        <v>71</v>
      </c>
      <c r="B3" s="5" t="s">
        <v>78</v>
      </c>
    </row>
    <row r="4" spans="1:22" x14ac:dyDescent="0.25">
      <c r="A4" s="5" t="s">
        <v>69</v>
      </c>
      <c r="B4" t="s">
        <v>34</v>
      </c>
      <c r="C4" t="s">
        <v>36</v>
      </c>
      <c r="D4" t="s">
        <v>38</v>
      </c>
      <c r="E4" t="s">
        <v>23</v>
      </c>
      <c r="F4" t="s">
        <v>41</v>
      </c>
      <c r="G4" t="s">
        <v>24</v>
      </c>
      <c r="H4" t="s">
        <v>21</v>
      </c>
      <c r="I4" t="s">
        <v>19</v>
      </c>
      <c r="J4" t="s">
        <v>35</v>
      </c>
      <c r="K4" t="s">
        <v>26</v>
      </c>
      <c r="L4" t="s">
        <v>28</v>
      </c>
      <c r="M4" t="s">
        <v>25</v>
      </c>
      <c r="N4" t="s">
        <v>39</v>
      </c>
      <c r="O4" t="s">
        <v>29</v>
      </c>
      <c r="P4" t="s">
        <v>17</v>
      </c>
      <c r="Q4" t="s">
        <v>40</v>
      </c>
      <c r="R4" t="s">
        <v>30</v>
      </c>
      <c r="S4" t="s">
        <v>33</v>
      </c>
      <c r="T4" t="s">
        <v>31</v>
      </c>
      <c r="U4" t="s">
        <v>20</v>
      </c>
      <c r="V4" t="s">
        <v>70</v>
      </c>
    </row>
    <row r="5" spans="1:22" x14ac:dyDescent="0.25">
      <c r="A5" s="6" t="s">
        <v>48</v>
      </c>
      <c r="B5" s="8">
        <v>452912</v>
      </c>
      <c r="C5" s="8">
        <v>460734</v>
      </c>
      <c r="D5" s="8">
        <v>4984391</v>
      </c>
      <c r="E5" s="8">
        <v>1909354</v>
      </c>
      <c r="F5" s="8">
        <v>6524966</v>
      </c>
      <c r="G5" s="8">
        <v>3894655</v>
      </c>
      <c r="H5" s="8">
        <v>7137294</v>
      </c>
      <c r="I5" s="8">
        <v>4379852</v>
      </c>
      <c r="J5" s="8">
        <v>829539</v>
      </c>
      <c r="K5" s="8">
        <v>5120843</v>
      </c>
      <c r="L5" s="8">
        <v>5482621</v>
      </c>
      <c r="M5" s="8">
        <v>5800432</v>
      </c>
      <c r="N5" s="8">
        <v>5670230</v>
      </c>
      <c r="O5" s="8">
        <v>4865411</v>
      </c>
      <c r="P5" s="8">
        <v>4085159</v>
      </c>
      <c r="Q5" s="8">
        <v>3400900</v>
      </c>
      <c r="R5" s="8">
        <v>6545180</v>
      </c>
      <c r="S5" s="8">
        <v>608474</v>
      </c>
      <c r="T5" s="8">
        <v>5404822</v>
      </c>
      <c r="U5" s="8">
        <v>3143727</v>
      </c>
      <c r="V5" s="8">
        <v>80701496</v>
      </c>
    </row>
    <row r="6" spans="1:22" x14ac:dyDescent="0.25">
      <c r="A6" s="6" t="s">
        <v>47</v>
      </c>
      <c r="B6" s="8">
        <v>444136</v>
      </c>
      <c r="C6" s="8">
        <v>640123</v>
      </c>
      <c r="D6" s="8">
        <v>5060630</v>
      </c>
      <c r="E6" s="8">
        <v>1617060</v>
      </c>
      <c r="F6" s="8">
        <v>4034578</v>
      </c>
      <c r="G6" s="8">
        <v>8171864</v>
      </c>
      <c r="H6" s="8">
        <v>2648213</v>
      </c>
      <c r="I6" s="8">
        <v>6588737</v>
      </c>
      <c r="J6" s="8">
        <v>439335</v>
      </c>
      <c r="K6" s="8">
        <v>4722607</v>
      </c>
      <c r="L6" s="8">
        <v>7354787</v>
      </c>
      <c r="M6" s="8">
        <v>3320026</v>
      </c>
      <c r="N6" s="8">
        <v>3127383</v>
      </c>
      <c r="O6" s="8">
        <v>7730070</v>
      </c>
      <c r="P6" s="8">
        <v>4471458</v>
      </c>
      <c r="Q6" s="8">
        <v>2187648</v>
      </c>
      <c r="R6" s="8">
        <v>4121148</v>
      </c>
      <c r="S6" s="8">
        <v>255834</v>
      </c>
      <c r="T6" s="8">
        <v>3652104</v>
      </c>
      <c r="U6" s="8">
        <v>4867363</v>
      </c>
      <c r="V6" s="8">
        <v>75455104</v>
      </c>
    </row>
    <row r="7" spans="1:22" x14ac:dyDescent="0.25">
      <c r="A7" s="6" t="s">
        <v>15</v>
      </c>
      <c r="B7" s="8">
        <v>539848</v>
      </c>
      <c r="C7" s="8">
        <v>648594</v>
      </c>
      <c r="D7" s="8">
        <v>4908532</v>
      </c>
      <c r="E7" s="8">
        <v>3356031</v>
      </c>
      <c r="F7" s="8">
        <v>3478926</v>
      </c>
      <c r="G7" s="8">
        <v>3243560</v>
      </c>
      <c r="H7" s="8">
        <v>3649103</v>
      </c>
      <c r="I7" s="8">
        <v>4024021</v>
      </c>
      <c r="J7" s="8">
        <v>663899</v>
      </c>
      <c r="K7" s="8">
        <v>6059576</v>
      </c>
      <c r="L7" s="8">
        <v>3034614</v>
      </c>
      <c r="M7" s="8">
        <v>2908281</v>
      </c>
      <c r="N7" s="8">
        <v>4180069</v>
      </c>
      <c r="O7" s="8">
        <v>6189228</v>
      </c>
      <c r="P7" s="8">
        <v>3496281</v>
      </c>
      <c r="Q7" s="8">
        <v>4770432</v>
      </c>
      <c r="R7" s="8">
        <v>6004639</v>
      </c>
      <c r="S7" s="8">
        <v>632727</v>
      </c>
      <c r="T7" s="8">
        <v>4612723</v>
      </c>
      <c r="U7" s="8">
        <v>8458611</v>
      </c>
      <c r="V7" s="8">
        <v>74859695</v>
      </c>
    </row>
    <row r="8" spans="1:22" x14ac:dyDescent="0.25">
      <c r="A8" s="6" t="s">
        <v>45</v>
      </c>
      <c r="B8" s="8">
        <v>848278</v>
      </c>
      <c r="C8" s="8">
        <v>878982</v>
      </c>
      <c r="D8" s="8">
        <v>6384412</v>
      </c>
      <c r="E8" s="8">
        <v>3429598</v>
      </c>
      <c r="F8" s="8">
        <v>5991073</v>
      </c>
      <c r="G8" s="8">
        <v>3265263</v>
      </c>
      <c r="H8" s="8">
        <v>4269483</v>
      </c>
      <c r="I8" s="8">
        <v>7747639</v>
      </c>
      <c r="J8" s="8">
        <v>474846</v>
      </c>
      <c r="K8" s="8">
        <v>5070508</v>
      </c>
      <c r="L8" s="8">
        <v>3033975</v>
      </c>
      <c r="M8" s="8">
        <v>5278841</v>
      </c>
      <c r="N8" s="8">
        <v>5759459</v>
      </c>
      <c r="O8" s="8">
        <v>6733793</v>
      </c>
      <c r="P8" s="8">
        <v>2127553</v>
      </c>
      <c r="Q8" s="8">
        <v>2095683</v>
      </c>
      <c r="R8" s="8">
        <v>2209521</v>
      </c>
      <c r="S8" s="8">
        <v>895098</v>
      </c>
      <c r="T8" s="8">
        <v>2314940</v>
      </c>
      <c r="U8" s="8">
        <v>5412731</v>
      </c>
      <c r="V8" s="8">
        <v>74221676</v>
      </c>
    </row>
    <row r="9" spans="1:22" x14ac:dyDescent="0.25">
      <c r="A9" s="6" t="s">
        <v>46</v>
      </c>
      <c r="B9" s="8">
        <v>760518</v>
      </c>
      <c r="C9" s="8">
        <v>970310</v>
      </c>
      <c r="D9" s="8">
        <v>5485299</v>
      </c>
      <c r="E9" s="8">
        <v>5794952</v>
      </c>
      <c r="F9" s="8">
        <v>2653146</v>
      </c>
      <c r="G9" s="8">
        <v>5521492</v>
      </c>
      <c r="H9" s="8">
        <v>3529672</v>
      </c>
      <c r="I9" s="8">
        <v>5417733</v>
      </c>
      <c r="J9" s="8">
        <v>707917</v>
      </c>
      <c r="K9" s="8">
        <v>4519462</v>
      </c>
      <c r="L9" s="8">
        <v>6380034</v>
      </c>
      <c r="M9" s="8">
        <v>3162506</v>
      </c>
      <c r="N9" s="8">
        <v>4492828</v>
      </c>
      <c r="O9" s="8">
        <v>3148497</v>
      </c>
      <c r="P9" s="8">
        <v>3397558</v>
      </c>
      <c r="Q9" s="8">
        <v>2320174</v>
      </c>
      <c r="R9" s="8">
        <v>2324146</v>
      </c>
      <c r="S9" s="8">
        <v>688662</v>
      </c>
      <c r="T9" s="8">
        <v>6348139</v>
      </c>
      <c r="U9" s="8">
        <v>4172430</v>
      </c>
      <c r="V9" s="8">
        <v>71795475</v>
      </c>
    </row>
    <row r="10" spans="1:22" x14ac:dyDescent="0.25">
      <c r="A10" s="6" t="s">
        <v>43</v>
      </c>
      <c r="B10" s="8">
        <v>432343</v>
      </c>
      <c r="C10" s="8">
        <v>992057</v>
      </c>
      <c r="D10" s="8">
        <v>4395916</v>
      </c>
      <c r="E10" s="8">
        <v>2303426</v>
      </c>
      <c r="F10" s="8">
        <v>4106643</v>
      </c>
      <c r="G10" s="8">
        <v>3278076</v>
      </c>
      <c r="H10" s="8">
        <v>4682596</v>
      </c>
      <c r="I10" s="8">
        <v>4025026</v>
      </c>
      <c r="J10" s="8">
        <v>400346</v>
      </c>
      <c r="K10" s="8">
        <v>4794100</v>
      </c>
      <c r="L10" s="8">
        <v>4053623</v>
      </c>
      <c r="M10" s="8">
        <v>4582325</v>
      </c>
      <c r="N10" s="8">
        <v>5128247</v>
      </c>
      <c r="O10" s="8">
        <v>4095709</v>
      </c>
      <c r="P10" s="8">
        <v>3731939</v>
      </c>
      <c r="Q10" s="8">
        <v>3675907</v>
      </c>
      <c r="R10" s="8">
        <v>5032240</v>
      </c>
      <c r="S10" s="8">
        <v>876080</v>
      </c>
      <c r="T10" s="8">
        <v>4880975</v>
      </c>
      <c r="U10" s="8">
        <v>4811350</v>
      </c>
      <c r="V10" s="8">
        <v>70278924</v>
      </c>
    </row>
    <row r="11" spans="1:22" x14ac:dyDescent="0.25">
      <c r="A11" s="6" t="s">
        <v>51</v>
      </c>
      <c r="B11" s="8">
        <v>442574</v>
      </c>
      <c r="C11" s="8">
        <v>585029</v>
      </c>
      <c r="D11" s="8">
        <v>3505371</v>
      </c>
      <c r="E11" s="8">
        <v>5721328</v>
      </c>
      <c r="F11" s="8">
        <v>4758526</v>
      </c>
      <c r="G11" s="8">
        <v>2925551</v>
      </c>
      <c r="H11" s="8">
        <v>2137520</v>
      </c>
      <c r="I11" s="8">
        <v>4739423</v>
      </c>
      <c r="J11" s="8">
        <v>635403</v>
      </c>
      <c r="K11" s="8">
        <v>4305983</v>
      </c>
      <c r="L11" s="8">
        <v>5468653</v>
      </c>
      <c r="M11" s="8">
        <v>5241039</v>
      </c>
      <c r="N11" s="8">
        <v>2991347</v>
      </c>
      <c r="O11" s="8">
        <v>4102471</v>
      </c>
      <c r="P11" s="8">
        <v>4937363</v>
      </c>
      <c r="Q11" s="8">
        <v>4623147</v>
      </c>
      <c r="R11" s="8">
        <v>3281339</v>
      </c>
      <c r="S11" s="8">
        <v>648608</v>
      </c>
      <c r="T11" s="8">
        <v>2716445</v>
      </c>
      <c r="U11" s="8">
        <v>5348718</v>
      </c>
      <c r="V11" s="8">
        <v>69115838</v>
      </c>
    </row>
    <row r="12" spans="1:22" x14ac:dyDescent="0.25">
      <c r="A12" s="6" t="s">
        <v>49</v>
      </c>
      <c r="B12" s="8">
        <v>473187</v>
      </c>
      <c r="C12" s="8">
        <v>735538</v>
      </c>
      <c r="D12" s="8">
        <v>5542716</v>
      </c>
      <c r="E12" s="8">
        <v>4118163</v>
      </c>
      <c r="F12" s="8">
        <v>5217607</v>
      </c>
      <c r="G12" s="8">
        <v>4719466</v>
      </c>
      <c r="H12" s="8">
        <v>5825376</v>
      </c>
      <c r="I12" s="8">
        <v>1825936</v>
      </c>
      <c r="J12" s="8">
        <v>492213</v>
      </c>
      <c r="K12" s="8">
        <v>4552823</v>
      </c>
      <c r="L12" s="8">
        <v>3879238</v>
      </c>
      <c r="M12" s="8">
        <v>4113078</v>
      </c>
      <c r="N12" s="8">
        <v>3664592</v>
      </c>
      <c r="O12" s="8">
        <v>4695629</v>
      </c>
      <c r="P12" s="8">
        <v>4613478</v>
      </c>
      <c r="Q12" s="8">
        <v>4317940</v>
      </c>
      <c r="R12" s="8">
        <v>3790840</v>
      </c>
      <c r="S12" s="8">
        <v>610140</v>
      </c>
      <c r="T12" s="8">
        <v>3050205</v>
      </c>
      <c r="U12" s="8">
        <v>2412645</v>
      </c>
      <c r="V12" s="8">
        <v>68650810</v>
      </c>
    </row>
    <row r="13" spans="1:22" x14ac:dyDescent="0.25">
      <c r="A13" s="6" t="s">
        <v>44</v>
      </c>
      <c r="B13" s="8">
        <v>491578</v>
      </c>
      <c r="C13" s="8">
        <v>771596</v>
      </c>
      <c r="D13" s="8">
        <v>3662632</v>
      </c>
      <c r="E13" s="8">
        <v>3937316</v>
      </c>
      <c r="F13" s="8">
        <v>4122086</v>
      </c>
      <c r="G13" s="8">
        <v>7553119</v>
      </c>
      <c r="H13" s="8">
        <v>4374537</v>
      </c>
      <c r="I13" s="8">
        <v>7124179</v>
      </c>
      <c r="J13" s="8">
        <v>502720</v>
      </c>
      <c r="K13" s="8">
        <v>2630214</v>
      </c>
      <c r="L13" s="8">
        <v>2327438</v>
      </c>
      <c r="M13" s="8">
        <v>3751893</v>
      </c>
      <c r="N13" s="8">
        <v>3773324</v>
      </c>
      <c r="O13" s="8">
        <v>1892397</v>
      </c>
      <c r="P13" s="8">
        <v>2922609</v>
      </c>
      <c r="Q13" s="8">
        <v>5842090</v>
      </c>
      <c r="R13" s="8">
        <v>1415548</v>
      </c>
      <c r="S13" s="8">
        <v>823579</v>
      </c>
      <c r="T13" s="8">
        <v>6540225</v>
      </c>
      <c r="U13" s="8">
        <v>2447310</v>
      </c>
      <c r="V13" s="8">
        <v>66906390</v>
      </c>
    </row>
    <row r="14" spans="1:22" x14ac:dyDescent="0.25">
      <c r="A14" s="6" t="s">
        <v>42</v>
      </c>
      <c r="B14" s="8">
        <v>588822</v>
      </c>
      <c r="C14" s="8">
        <v>551035</v>
      </c>
      <c r="D14" s="8">
        <v>8289021</v>
      </c>
      <c r="E14" s="8">
        <v>5002250</v>
      </c>
      <c r="F14" s="8">
        <v>3571361</v>
      </c>
      <c r="G14" s="8">
        <v>1250581</v>
      </c>
      <c r="H14" s="8">
        <v>5195259</v>
      </c>
      <c r="I14" s="8">
        <v>3417621</v>
      </c>
      <c r="J14" s="8">
        <v>603555</v>
      </c>
      <c r="K14" s="8">
        <v>2528898</v>
      </c>
      <c r="L14" s="8">
        <v>3694381</v>
      </c>
      <c r="M14" s="8">
        <v>4558102</v>
      </c>
      <c r="N14" s="8">
        <v>3583164</v>
      </c>
      <c r="O14" s="8">
        <v>3407973</v>
      </c>
      <c r="P14" s="8">
        <v>1895766</v>
      </c>
      <c r="Q14" s="8">
        <v>3179545</v>
      </c>
      <c r="R14" s="8">
        <v>7882297</v>
      </c>
      <c r="S14" s="8">
        <v>562178</v>
      </c>
      <c r="T14" s="8">
        <v>3205416</v>
      </c>
      <c r="U14" s="8">
        <v>3748117</v>
      </c>
      <c r="V14" s="8">
        <v>66715342</v>
      </c>
    </row>
    <row r="15" spans="1:22" x14ac:dyDescent="0.25">
      <c r="A15" s="6" t="s">
        <v>52</v>
      </c>
      <c r="B15" s="8">
        <v>738827</v>
      </c>
      <c r="C15" s="8">
        <v>730861</v>
      </c>
      <c r="D15" s="8">
        <v>6480728</v>
      </c>
      <c r="E15" s="8">
        <v>1503704</v>
      </c>
      <c r="F15" s="8">
        <v>2583927</v>
      </c>
      <c r="G15" s="8">
        <v>3240806</v>
      </c>
      <c r="H15" s="8">
        <v>5721055</v>
      </c>
      <c r="I15" s="8">
        <v>4414663</v>
      </c>
      <c r="J15" s="8">
        <v>844459</v>
      </c>
      <c r="K15" s="8">
        <v>5730010</v>
      </c>
      <c r="L15" s="8">
        <v>3260379</v>
      </c>
      <c r="M15" s="8">
        <v>3829027</v>
      </c>
      <c r="N15" s="8">
        <v>3092434</v>
      </c>
      <c r="O15" s="8">
        <v>4625823</v>
      </c>
      <c r="P15" s="8">
        <v>5097933</v>
      </c>
      <c r="Q15" s="8">
        <v>3459883</v>
      </c>
      <c r="R15" s="8">
        <v>2784608</v>
      </c>
      <c r="S15" s="8">
        <v>539141</v>
      </c>
      <c r="T15" s="8">
        <v>3623429</v>
      </c>
      <c r="U15" s="8">
        <v>4078562</v>
      </c>
      <c r="V15" s="8">
        <v>66380259</v>
      </c>
    </row>
    <row r="16" spans="1:22" x14ac:dyDescent="0.25">
      <c r="A16" s="6" t="s">
        <v>50</v>
      </c>
      <c r="B16" s="8">
        <v>644963</v>
      </c>
      <c r="C16" s="8">
        <v>524741</v>
      </c>
      <c r="D16" s="8">
        <v>6186786</v>
      </c>
      <c r="E16" s="8">
        <v>5113739</v>
      </c>
      <c r="F16" s="8">
        <v>3315422</v>
      </c>
      <c r="G16" s="8">
        <v>4496931</v>
      </c>
      <c r="H16" s="8">
        <v>4999939</v>
      </c>
      <c r="I16" s="8">
        <v>4090142</v>
      </c>
      <c r="J16" s="8">
        <v>881372</v>
      </c>
      <c r="K16" s="8">
        <v>3697404</v>
      </c>
      <c r="L16" s="8">
        <v>4440298</v>
      </c>
      <c r="M16" s="8">
        <v>2613912</v>
      </c>
      <c r="N16" s="8">
        <v>3234765</v>
      </c>
      <c r="O16" s="8">
        <v>5398378</v>
      </c>
      <c r="P16" s="8">
        <v>3534816</v>
      </c>
      <c r="Q16" s="8">
        <v>4828890</v>
      </c>
      <c r="R16" s="8">
        <v>2283388</v>
      </c>
      <c r="S16" s="8">
        <v>769790</v>
      </c>
      <c r="T16" s="8">
        <v>996999</v>
      </c>
      <c r="U16" s="8">
        <v>3107928</v>
      </c>
      <c r="V16" s="8">
        <v>65160603</v>
      </c>
    </row>
    <row r="17" spans="1:22" x14ac:dyDescent="0.25">
      <c r="A17" s="6" t="s">
        <v>70</v>
      </c>
      <c r="B17" s="8">
        <v>6857986</v>
      </c>
      <c r="C17" s="8">
        <v>8489600</v>
      </c>
      <c r="D17" s="8">
        <v>64886434</v>
      </c>
      <c r="E17" s="8">
        <v>43806921</v>
      </c>
      <c r="F17" s="8">
        <v>50358261</v>
      </c>
      <c r="G17" s="8">
        <v>51561364</v>
      </c>
      <c r="H17" s="8">
        <v>54170047</v>
      </c>
      <c r="I17" s="8">
        <v>57794972</v>
      </c>
      <c r="J17" s="8">
        <v>7475604</v>
      </c>
      <c r="K17" s="8">
        <v>53732428</v>
      </c>
      <c r="L17" s="8">
        <v>52410041</v>
      </c>
      <c r="M17" s="8">
        <v>49159462</v>
      </c>
      <c r="N17" s="8">
        <v>48697842</v>
      </c>
      <c r="O17" s="8">
        <v>56885379</v>
      </c>
      <c r="P17" s="8">
        <v>44311913</v>
      </c>
      <c r="Q17" s="8">
        <v>44702239</v>
      </c>
      <c r="R17" s="8">
        <v>47674894</v>
      </c>
      <c r="S17" s="8">
        <v>7910311</v>
      </c>
      <c r="T17" s="8">
        <v>47346422</v>
      </c>
      <c r="U17" s="8">
        <v>52009492</v>
      </c>
      <c r="V17" s="8">
        <v>850241612</v>
      </c>
    </row>
  </sheetData>
  <mergeCells count="1">
    <mergeCell ref="D1:N1"/>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3F05E-B720-4EE5-8E3C-2B168122AF8E}">
  <dimension ref="A1:G15"/>
  <sheetViews>
    <sheetView workbookViewId="0">
      <selection sqref="A1:G1"/>
    </sheetView>
  </sheetViews>
  <sheetFormatPr defaultRowHeight="15" x14ac:dyDescent="0.25"/>
  <cols>
    <col min="1" max="1" width="22.140625" bestFit="1" customWidth="1"/>
    <col min="2" max="2" width="19.140625" bestFit="1" customWidth="1"/>
    <col min="3" max="5" width="14.42578125" bestFit="1" customWidth="1"/>
    <col min="6" max="6" width="13.42578125" bestFit="1" customWidth="1"/>
    <col min="7" max="7" width="14.42578125" bestFit="1" customWidth="1"/>
    <col min="8" max="8" width="12.7109375" bestFit="1" customWidth="1"/>
    <col min="9" max="9" width="10.42578125" bestFit="1" customWidth="1"/>
    <col min="10" max="10" width="13.5703125" bestFit="1" customWidth="1"/>
    <col min="11" max="11" width="13.7109375" bestFit="1" customWidth="1"/>
    <col min="12" max="12" width="11.28515625" bestFit="1" customWidth="1"/>
  </cols>
  <sheetData>
    <row r="1" spans="1:7" x14ac:dyDescent="0.25">
      <c r="A1" s="17" t="s">
        <v>80</v>
      </c>
      <c r="B1" s="17"/>
      <c r="C1" s="17"/>
      <c r="D1" s="17"/>
      <c r="E1" s="17"/>
      <c r="F1" s="17"/>
      <c r="G1" s="17"/>
    </row>
    <row r="3" spans="1:7" x14ac:dyDescent="0.25">
      <c r="A3" s="5" t="s">
        <v>71</v>
      </c>
      <c r="B3" s="5" t="s">
        <v>5</v>
      </c>
    </row>
    <row r="4" spans="1:7" x14ac:dyDescent="0.25">
      <c r="A4" s="5" t="s">
        <v>79</v>
      </c>
      <c r="B4" t="s">
        <v>37</v>
      </c>
      <c r="C4" t="s">
        <v>16</v>
      </c>
      <c r="D4" t="s">
        <v>27</v>
      </c>
      <c r="E4" t="s">
        <v>22</v>
      </c>
      <c r="F4" t="s">
        <v>32</v>
      </c>
      <c r="G4" t="s">
        <v>70</v>
      </c>
    </row>
    <row r="5" spans="1:7" x14ac:dyDescent="0.25">
      <c r="A5" s="6" t="s">
        <v>55</v>
      </c>
      <c r="B5" s="8">
        <v>23322982</v>
      </c>
      <c r="C5" s="8">
        <v>23061913</v>
      </c>
      <c r="D5" s="8">
        <v>18519212</v>
      </c>
      <c r="E5" s="8">
        <v>19248288</v>
      </c>
      <c r="F5" s="8">
        <v>2775264</v>
      </c>
      <c r="G5" s="8">
        <v>86927659</v>
      </c>
    </row>
    <row r="6" spans="1:7" x14ac:dyDescent="0.25">
      <c r="A6" s="6" t="s">
        <v>56</v>
      </c>
      <c r="B6" s="8">
        <v>24932710</v>
      </c>
      <c r="C6" s="8">
        <v>21516235</v>
      </c>
      <c r="D6" s="8">
        <v>21612645</v>
      </c>
      <c r="E6" s="8">
        <v>20886582</v>
      </c>
      <c r="F6" s="8">
        <v>3238761</v>
      </c>
      <c r="G6" s="8">
        <v>92186933</v>
      </c>
    </row>
    <row r="7" spans="1:7" x14ac:dyDescent="0.25">
      <c r="A7" s="6" t="s">
        <v>67</v>
      </c>
      <c r="B7" s="8">
        <v>21498695</v>
      </c>
      <c r="C7" s="8">
        <v>15716210</v>
      </c>
      <c r="D7" s="8">
        <v>21376803</v>
      </c>
      <c r="E7" s="8">
        <v>10567295</v>
      </c>
      <c r="F7" s="8">
        <v>4012839</v>
      </c>
      <c r="G7" s="8">
        <v>73171842</v>
      </c>
    </row>
    <row r="8" spans="1:7" x14ac:dyDescent="0.25">
      <c r="A8" s="6" t="s">
        <v>64</v>
      </c>
      <c r="B8" s="8">
        <v>20867178</v>
      </c>
      <c r="C8" s="8">
        <v>14688805</v>
      </c>
      <c r="D8" s="8">
        <v>16573701</v>
      </c>
      <c r="E8" s="8">
        <v>19607682</v>
      </c>
      <c r="F8" s="8">
        <v>3386657</v>
      </c>
      <c r="G8" s="8">
        <v>75124023</v>
      </c>
    </row>
    <row r="9" spans="1:7" x14ac:dyDescent="0.25">
      <c r="A9" s="6" t="s">
        <v>68</v>
      </c>
      <c r="B9" s="8">
        <v>15284650</v>
      </c>
      <c r="C9" s="8">
        <v>26329290</v>
      </c>
      <c r="D9" s="8">
        <v>23518427</v>
      </c>
      <c r="E9" s="8">
        <v>22010308</v>
      </c>
      <c r="F9" s="8">
        <v>2520561</v>
      </c>
      <c r="G9" s="8">
        <v>89663236</v>
      </c>
    </row>
    <row r="10" spans="1:7" x14ac:dyDescent="0.25">
      <c r="A10" s="6" t="s">
        <v>63</v>
      </c>
      <c r="B10" s="8">
        <v>26225977</v>
      </c>
      <c r="C10" s="8">
        <v>21435333</v>
      </c>
      <c r="D10" s="8">
        <v>20554098</v>
      </c>
      <c r="E10" s="8">
        <v>20990206</v>
      </c>
      <c r="F10" s="8">
        <v>2791113</v>
      </c>
      <c r="G10" s="8">
        <v>91996727</v>
      </c>
    </row>
    <row r="11" spans="1:7" x14ac:dyDescent="0.25">
      <c r="A11" s="6" t="s">
        <v>14</v>
      </c>
      <c r="B11" s="8">
        <v>23606003</v>
      </c>
      <c r="C11" s="8">
        <v>15456118</v>
      </c>
      <c r="D11" s="8">
        <v>16996538</v>
      </c>
      <c r="E11" s="8">
        <v>15598063</v>
      </c>
      <c r="F11" s="8">
        <v>1785592</v>
      </c>
      <c r="G11" s="8">
        <v>73442314</v>
      </c>
    </row>
    <row r="12" spans="1:7" x14ac:dyDescent="0.25">
      <c r="A12" s="6" t="s">
        <v>59</v>
      </c>
      <c r="B12" s="8">
        <v>20009512</v>
      </c>
      <c r="C12" s="8">
        <v>17224738</v>
      </c>
      <c r="D12" s="8">
        <v>22986912</v>
      </c>
      <c r="E12" s="8">
        <v>25669200</v>
      </c>
      <c r="F12" s="8">
        <v>2917239</v>
      </c>
      <c r="G12" s="8">
        <v>88807601</v>
      </c>
    </row>
    <row r="13" spans="1:7" x14ac:dyDescent="0.25">
      <c r="A13" s="6" t="s">
        <v>18</v>
      </c>
      <c r="B13" s="8">
        <v>17583876</v>
      </c>
      <c r="C13" s="8">
        <v>27269458</v>
      </c>
      <c r="D13" s="8">
        <v>21113075</v>
      </c>
      <c r="E13" s="8">
        <v>18508907</v>
      </c>
      <c r="F13" s="8">
        <v>3803442</v>
      </c>
      <c r="G13" s="8">
        <v>88278758</v>
      </c>
    </row>
    <row r="14" spans="1:7" x14ac:dyDescent="0.25">
      <c r="A14" s="6" t="s">
        <v>60</v>
      </c>
      <c r="B14" s="8">
        <v>15313193</v>
      </c>
      <c r="C14" s="8">
        <v>25588324</v>
      </c>
      <c r="D14" s="8">
        <v>21065325</v>
      </c>
      <c r="E14" s="8">
        <v>25173644</v>
      </c>
      <c r="F14" s="8">
        <v>3502033</v>
      </c>
      <c r="G14" s="8">
        <v>90642519</v>
      </c>
    </row>
    <row r="15" spans="1:7" x14ac:dyDescent="0.25">
      <c r="A15" s="6" t="s">
        <v>70</v>
      </c>
      <c r="B15" s="8">
        <v>208644776</v>
      </c>
      <c r="C15" s="8">
        <v>208286424</v>
      </c>
      <c r="D15" s="8">
        <v>204316736</v>
      </c>
      <c r="E15" s="8">
        <v>198260175</v>
      </c>
      <c r="F15" s="8">
        <v>30733501</v>
      </c>
      <c r="G15" s="8">
        <v>850241612</v>
      </c>
    </row>
  </sheetData>
  <mergeCells count="1">
    <mergeCell ref="A1:G1"/>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2B7CB-F92B-4623-A4F3-37C4EAEBF646}">
  <dimension ref="A1:F9"/>
  <sheetViews>
    <sheetView workbookViewId="0">
      <selection sqref="A1:F1"/>
    </sheetView>
  </sheetViews>
  <sheetFormatPr defaultRowHeight="15" x14ac:dyDescent="0.25"/>
  <cols>
    <col min="1" max="1" width="19.140625" bestFit="1" customWidth="1"/>
    <col min="2" max="2" width="20.85546875" bestFit="1" customWidth="1"/>
    <col min="3" max="3" width="20.42578125" bestFit="1" customWidth="1"/>
    <col min="4" max="4" width="13.7109375" bestFit="1" customWidth="1"/>
    <col min="5" max="5" width="14.85546875" bestFit="1" customWidth="1"/>
    <col min="6" max="6" width="13.85546875" bestFit="1" customWidth="1"/>
    <col min="7" max="7" width="13.5703125" bestFit="1" customWidth="1"/>
    <col min="8" max="8" width="12.5703125" bestFit="1" customWidth="1"/>
    <col min="9" max="9" width="9.7109375" bestFit="1" customWidth="1"/>
    <col min="10" max="10" width="11.7109375" bestFit="1" customWidth="1"/>
    <col min="11" max="11" width="16.5703125" bestFit="1" customWidth="1"/>
    <col min="12" max="12" width="10" bestFit="1" customWidth="1"/>
    <col min="13" max="13" width="15.5703125" bestFit="1" customWidth="1"/>
    <col min="14" max="14" width="12" bestFit="1" customWidth="1"/>
    <col min="15" max="15" width="15" bestFit="1" customWidth="1"/>
    <col min="16" max="16" width="19" bestFit="1" customWidth="1"/>
    <col min="17" max="17" width="13.5703125" bestFit="1" customWidth="1"/>
    <col min="18" max="18" width="13.7109375" bestFit="1" customWidth="1"/>
    <col min="19" max="19" width="17.7109375" bestFit="1" customWidth="1"/>
    <col min="20" max="20" width="9.42578125" bestFit="1" customWidth="1"/>
    <col min="21" max="21" width="14.140625" bestFit="1" customWidth="1"/>
    <col min="22" max="22" width="11.28515625" bestFit="1" customWidth="1"/>
  </cols>
  <sheetData>
    <row r="1" spans="1:6" x14ac:dyDescent="0.25">
      <c r="A1" s="16" t="s">
        <v>82</v>
      </c>
      <c r="B1" s="17"/>
      <c r="C1" s="17"/>
      <c r="D1" s="17"/>
      <c r="E1" s="17"/>
      <c r="F1" s="17"/>
    </row>
    <row r="3" spans="1:6" x14ac:dyDescent="0.25">
      <c r="A3" s="5" t="s">
        <v>69</v>
      </c>
      <c r="B3" t="s">
        <v>81</v>
      </c>
    </row>
    <row r="4" spans="1:6" x14ac:dyDescent="0.25">
      <c r="A4" s="6" t="s">
        <v>61</v>
      </c>
      <c r="B4" s="1">
        <v>1810</v>
      </c>
    </row>
    <row r="5" spans="1:6" x14ac:dyDescent="0.25">
      <c r="A5" s="6" t="s">
        <v>12</v>
      </c>
      <c r="B5" s="1">
        <v>1692</v>
      </c>
    </row>
    <row r="6" spans="1:6" x14ac:dyDescent="0.25">
      <c r="A6" s="6" t="s">
        <v>57</v>
      </c>
      <c r="B6" s="1">
        <v>1658</v>
      </c>
    </row>
    <row r="7" spans="1:6" x14ac:dyDescent="0.25">
      <c r="A7" s="6" t="s">
        <v>53</v>
      </c>
      <c r="B7" s="1">
        <v>1613</v>
      </c>
    </row>
    <row r="8" spans="1:6" x14ac:dyDescent="0.25">
      <c r="A8" s="6" t="s">
        <v>65</v>
      </c>
      <c r="B8" s="1">
        <v>1597</v>
      </c>
    </row>
    <row r="9" spans="1:6" x14ac:dyDescent="0.25">
      <c r="A9" s="6" t="s">
        <v>70</v>
      </c>
      <c r="B9" s="1">
        <v>8370</v>
      </c>
    </row>
  </sheetData>
  <mergeCells count="1">
    <mergeCell ref="A1:F1"/>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B0846-FCD4-4E85-8A52-077F3E06BB6F}">
  <dimension ref="A1:G25"/>
  <sheetViews>
    <sheetView topLeftCell="C1" workbookViewId="0">
      <selection activeCell="C1" sqref="C1"/>
    </sheetView>
  </sheetViews>
  <sheetFormatPr defaultRowHeight="15" x14ac:dyDescent="0.25"/>
  <cols>
    <col min="1" max="1" width="20.42578125" bestFit="1" customWidth="1"/>
    <col min="2" max="2" width="16.28515625" bestFit="1" customWidth="1"/>
    <col min="3" max="3" width="103.7109375" bestFit="1" customWidth="1"/>
    <col min="4" max="4" width="9.7109375" bestFit="1" customWidth="1"/>
    <col min="5" max="5" width="7.5703125" bestFit="1" customWidth="1"/>
    <col min="6" max="6" width="7.42578125" bestFit="1" customWidth="1"/>
    <col min="7" max="7" width="11.28515625" bestFit="1" customWidth="1"/>
  </cols>
  <sheetData>
    <row r="1" spans="1:7" x14ac:dyDescent="0.25">
      <c r="A1" s="5" t="s">
        <v>5</v>
      </c>
      <c r="B1" t="s">
        <v>76</v>
      </c>
      <c r="C1" s="9" t="s">
        <v>84</v>
      </c>
    </row>
    <row r="3" spans="1:7" x14ac:dyDescent="0.25">
      <c r="A3" s="5" t="s">
        <v>83</v>
      </c>
      <c r="B3" s="5" t="s">
        <v>78</v>
      </c>
    </row>
    <row r="4" spans="1:7" x14ac:dyDescent="0.25">
      <c r="A4" s="5" t="s">
        <v>69</v>
      </c>
      <c r="B4" t="s">
        <v>66</v>
      </c>
      <c r="C4" t="s">
        <v>58</v>
      </c>
      <c r="D4" t="s">
        <v>54</v>
      </c>
      <c r="E4" t="s">
        <v>13</v>
      </c>
      <c r="F4" t="s">
        <v>62</v>
      </c>
      <c r="G4" t="s">
        <v>70</v>
      </c>
    </row>
    <row r="5" spans="1:7" x14ac:dyDescent="0.25">
      <c r="A5" s="6" t="s">
        <v>34</v>
      </c>
      <c r="B5" s="10">
        <v>3.7454691904953687E-2</v>
      </c>
      <c r="C5" s="10">
        <v>4.0457703310175723E-2</v>
      </c>
      <c r="D5" s="10">
        <v>5.3039575683394534E-2</v>
      </c>
      <c r="E5" s="10">
        <v>3.8461538461538464E-2</v>
      </c>
      <c r="F5" s="10">
        <v>4.6969088719389804E-2</v>
      </c>
      <c r="G5" s="10">
        <v>4.33077300212453E-2</v>
      </c>
    </row>
    <row r="6" spans="1:7" x14ac:dyDescent="0.25">
      <c r="A6" s="6" t="s">
        <v>36</v>
      </c>
      <c r="B6" s="10">
        <v>6.202174788562223E-2</v>
      </c>
      <c r="C6" s="10">
        <v>4.69963220269718E-2</v>
      </c>
      <c r="D6" s="10">
        <v>5.2223582211342309E-2</v>
      </c>
      <c r="E6" s="10">
        <v>6.6779374471682168E-2</v>
      </c>
      <c r="F6" s="10">
        <v>5.6202328382175835E-2</v>
      </c>
      <c r="G6" s="10">
        <v>5.6790325216538651E-2</v>
      </c>
    </row>
    <row r="7" spans="1:7" x14ac:dyDescent="0.25">
      <c r="A7" s="6" t="s">
        <v>38</v>
      </c>
      <c r="B7" s="10">
        <v>5.0342327829238823E-2</v>
      </c>
      <c r="C7" s="10">
        <v>4.4135676338373515E-2</v>
      </c>
      <c r="D7" s="10">
        <v>6.1607507139942883E-2</v>
      </c>
      <c r="E7" s="10">
        <v>4.142011834319527E-2</v>
      </c>
      <c r="F7" s="10">
        <v>5.86109995985548E-2</v>
      </c>
      <c r="G7" s="10">
        <v>5.1315574440268019E-2</v>
      </c>
    </row>
    <row r="8" spans="1:7" x14ac:dyDescent="0.25">
      <c r="A8" s="6" t="s">
        <v>23</v>
      </c>
      <c r="B8" s="10">
        <v>4.6314941602899715E-2</v>
      </c>
      <c r="C8" s="10">
        <v>5.5169595422966899E-2</v>
      </c>
      <c r="D8" s="10">
        <v>4.8143614851081193E-2</v>
      </c>
      <c r="E8" s="10">
        <v>3.8461538461538464E-2</v>
      </c>
      <c r="F8" s="10">
        <v>5.4195102368526697E-2</v>
      </c>
      <c r="G8" s="10">
        <v>4.8537342703056055E-2</v>
      </c>
    </row>
    <row r="9" spans="1:7" x14ac:dyDescent="0.25">
      <c r="A9" s="6" t="s">
        <v>41</v>
      </c>
      <c r="B9" s="10">
        <v>4.9134111961337094E-2</v>
      </c>
      <c r="C9" s="10">
        <v>4.5361667347772784E-2</v>
      </c>
      <c r="D9" s="10">
        <v>4.9775601795185635E-2</v>
      </c>
      <c r="E9" s="10">
        <v>5.3677092138630603E-2</v>
      </c>
      <c r="F9" s="10">
        <v>5.9815335206744279E-2</v>
      </c>
      <c r="G9" s="10">
        <v>5.1560712534727896E-2</v>
      </c>
    </row>
    <row r="10" spans="1:7" x14ac:dyDescent="0.25">
      <c r="A10" s="6" t="s">
        <v>24</v>
      </c>
      <c r="B10" s="10">
        <v>4.6314941602899715E-2</v>
      </c>
      <c r="C10" s="10">
        <v>5.3943604413567631E-2</v>
      </c>
      <c r="D10" s="10">
        <v>4.7735618115055077E-2</v>
      </c>
      <c r="E10" s="10">
        <v>5.1563820794590022E-2</v>
      </c>
      <c r="F10" s="10">
        <v>5.5800883179446002E-2</v>
      </c>
      <c r="G10" s="10">
        <v>5.1070436345808136E-2</v>
      </c>
    </row>
    <row r="11" spans="1:7" x14ac:dyDescent="0.25">
      <c r="A11" s="6" t="s">
        <v>21</v>
      </c>
      <c r="B11" s="10">
        <v>6.0008054772452676E-2</v>
      </c>
      <c r="C11" s="10">
        <v>5.3534940743767877E-2</v>
      </c>
      <c r="D11" s="10">
        <v>4.5695634434924519E-2</v>
      </c>
      <c r="E11" s="10">
        <v>5.2409129332206254E-2</v>
      </c>
      <c r="F11" s="10">
        <v>4.6166198313930151E-2</v>
      </c>
      <c r="G11" s="10">
        <v>5.1560712534727896E-2</v>
      </c>
    </row>
    <row r="12" spans="1:7" x14ac:dyDescent="0.25">
      <c r="A12" s="6" t="s">
        <v>19</v>
      </c>
      <c r="B12" s="10">
        <v>6.1216270640354412E-2</v>
      </c>
      <c r="C12" s="10">
        <v>5.0265631385369838E-2</v>
      </c>
      <c r="D12" s="10">
        <v>5.2223582211342309E-2</v>
      </c>
      <c r="E12" s="10">
        <v>5.1563820794590022E-2</v>
      </c>
      <c r="F12" s="10">
        <v>3.8940184664793258E-2</v>
      </c>
      <c r="G12" s="10">
        <v>5.082529825134826E-2</v>
      </c>
    </row>
    <row r="13" spans="1:7" x14ac:dyDescent="0.25">
      <c r="A13" s="6" t="s">
        <v>35</v>
      </c>
      <c r="B13" s="10">
        <v>6.0410793395086586E-2</v>
      </c>
      <c r="C13" s="10">
        <v>4.9039640375970577E-2</v>
      </c>
      <c r="D13" s="10">
        <v>4.6511627906976744E-2</v>
      </c>
      <c r="E13" s="10">
        <v>4.6914623837700759E-2</v>
      </c>
      <c r="F13" s="10">
        <v>4.0545965475712563E-2</v>
      </c>
      <c r="G13" s="10">
        <v>4.8700768099362642E-2</v>
      </c>
    </row>
    <row r="14" spans="1:7" x14ac:dyDescent="0.25">
      <c r="A14" s="6" t="s">
        <v>26</v>
      </c>
      <c r="B14" s="10">
        <v>4.752315747080145E-2</v>
      </c>
      <c r="C14" s="10">
        <v>6.3342868818961992E-2</v>
      </c>
      <c r="D14" s="10">
        <v>5.18155854753162E-2</v>
      </c>
      <c r="E14" s="10">
        <v>4.5224006762468301E-2</v>
      </c>
      <c r="F14" s="10">
        <v>4.7771979124849456E-2</v>
      </c>
      <c r="G14" s="10">
        <v>5.1152149043961433E-2</v>
      </c>
    </row>
    <row r="15" spans="1:7" x14ac:dyDescent="0.25">
      <c r="A15" s="6" t="s">
        <v>28</v>
      </c>
      <c r="B15" s="10">
        <v>4.3898509867096251E-2</v>
      </c>
      <c r="C15" s="10">
        <v>5.4760931753167146E-2</v>
      </c>
      <c r="D15" s="10">
        <v>4.3655650754793961E-2</v>
      </c>
      <c r="E15" s="10">
        <v>5.1986475063398138E-2</v>
      </c>
      <c r="F15" s="10">
        <v>5.0180650341228421E-2</v>
      </c>
      <c r="G15" s="10">
        <v>4.8864193495669228E-2</v>
      </c>
    </row>
    <row r="16" spans="1:7" x14ac:dyDescent="0.25">
      <c r="A16" s="6" t="s">
        <v>25</v>
      </c>
      <c r="B16" s="10">
        <v>5.3966975432944021E-2</v>
      </c>
      <c r="C16" s="10">
        <v>5.1900286064568861E-2</v>
      </c>
      <c r="D16" s="10">
        <v>4.6103631170950635E-2</v>
      </c>
      <c r="E16" s="10">
        <v>4.4378698224852069E-2</v>
      </c>
      <c r="F16" s="10">
        <v>5.5800883179446002E-2</v>
      </c>
      <c r="G16" s="10">
        <v>5.0498447458735087E-2</v>
      </c>
    </row>
    <row r="17" spans="1:7" x14ac:dyDescent="0.25">
      <c r="A17" s="6" t="s">
        <v>39</v>
      </c>
      <c r="B17" s="10">
        <v>5.3966975432944021E-2</v>
      </c>
      <c r="C17" s="10">
        <v>5.6395586432366161E-2</v>
      </c>
      <c r="D17" s="10">
        <v>4.6919624643002859E-2</v>
      </c>
      <c r="E17" s="10">
        <v>5.3677092138630603E-2</v>
      </c>
      <c r="F17" s="10">
        <v>5.2990766760337212E-2</v>
      </c>
      <c r="G17" s="10">
        <v>5.2786403007027291E-2</v>
      </c>
    </row>
    <row r="18" spans="1:7" x14ac:dyDescent="0.25">
      <c r="A18" s="6" t="s">
        <v>29</v>
      </c>
      <c r="B18" s="10">
        <v>5.7188884414015304E-2</v>
      </c>
      <c r="C18" s="10">
        <v>5.5578259092766653E-2</v>
      </c>
      <c r="D18" s="10">
        <v>5.059159526723786E-2</v>
      </c>
      <c r="E18" s="10">
        <v>4.9450549450549448E-2</v>
      </c>
      <c r="F18" s="10">
        <v>5.4596547571256523E-2</v>
      </c>
      <c r="G18" s="10">
        <v>5.3521817290406927E-2</v>
      </c>
    </row>
    <row r="19" spans="1:7" x14ac:dyDescent="0.25">
      <c r="A19" s="6" t="s">
        <v>17</v>
      </c>
      <c r="B19" s="10">
        <v>5.1953282319774467E-2</v>
      </c>
      <c r="C19" s="10">
        <v>4.0457703310175723E-2</v>
      </c>
      <c r="D19" s="10">
        <v>5.18155854753162E-2</v>
      </c>
      <c r="E19" s="10">
        <v>4.4378698224852069E-2</v>
      </c>
      <c r="F19" s="10">
        <v>3.2918506623845843E-2</v>
      </c>
      <c r="G19" s="10">
        <v>4.4288282399084819E-2</v>
      </c>
    </row>
    <row r="20" spans="1:7" x14ac:dyDescent="0.25">
      <c r="A20" s="6" t="s">
        <v>40</v>
      </c>
      <c r="B20" s="10">
        <v>4.027386226339106E-2</v>
      </c>
      <c r="C20" s="10">
        <v>5.9256232120964446E-2</v>
      </c>
      <c r="D20" s="10">
        <v>5.4671562627498983E-2</v>
      </c>
      <c r="E20" s="10">
        <v>5.2409129332206254E-2</v>
      </c>
      <c r="F20" s="10">
        <v>5.2187876354877559E-2</v>
      </c>
      <c r="G20" s="10">
        <v>5.1724137931034482E-2</v>
      </c>
    </row>
    <row r="21" spans="1:7" x14ac:dyDescent="0.25">
      <c r="A21" s="6" t="s">
        <v>30</v>
      </c>
      <c r="B21" s="10">
        <v>4.9536850583971004E-2</v>
      </c>
      <c r="C21" s="10">
        <v>4.5770331017572538E-2</v>
      </c>
      <c r="D21" s="10">
        <v>5.0183598531211751E-2</v>
      </c>
      <c r="E21" s="10">
        <v>4.8182586644125107E-2</v>
      </c>
      <c r="F21" s="10">
        <v>3.4925732637494981E-2</v>
      </c>
      <c r="G21" s="10">
        <v>4.5677398267690801E-2</v>
      </c>
    </row>
    <row r="22" spans="1:7" x14ac:dyDescent="0.25">
      <c r="A22" s="6" t="s">
        <v>33</v>
      </c>
      <c r="B22" s="10">
        <v>4.2690293999194523E-2</v>
      </c>
      <c r="C22" s="10">
        <v>5.5169595422966899E-2</v>
      </c>
      <c r="D22" s="10">
        <v>4.4471644226846185E-2</v>
      </c>
      <c r="E22" s="10">
        <v>5.3677092138630603E-2</v>
      </c>
      <c r="F22" s="10">
        <v>6.1421116017663591E-2</v>
      </c>
      <c r="G22" s="10">
        <v>5.1478999836574606E-2</v>
      </c>
    </row>
    <row r="23" spans="1:7" x14ac:dyDescent="0.25">
      <c r="A23" s="6" t="s">
        <v>31</v>
      </c>
      <c r="B23" s="10">
        <v>4.3495771244462342E-2</v>
      </c>
      <c r="C23" s="10">
        <v>3.7188393951777685E-2</v>
      </c>
      <c r="D23" s="10">
        <v>4.6103631170950635E-2</v>
      </c>
      <c r="E23" s="10">
        <v>3.9306846999154689E-2</v>
      </c>
      <c r="F23" s="10">
        <v>5.6603773584905662E-2</v>
      </c>
      <c r="G23" s="10">
        <v>4.4615133191697992E-2</v>
      </c>
    </row>
    <row r="24" spans="1:7" x14ac:dyDescent="0.25">
      <c r="A24" s="6" t="s">
        <v>20</v>
      </c>
      <c r="B24" s="10">
        <v>4.2287555376560614E-2</v>
      </c>
      <c r="C24" s="10">
        <v>4.1275030649775238E-2</v>
      </c>
      <c r="D24" s="10">
        <v>5.6711546307629541E-2</v>
      </c>
      <c r="E24" s="10">
        <v>7.6077768385460695E-2</v>
      </c>
      <c r="F24" s="10">
        <v>4.3356081894821354E-2</v>
      </c>
      <c r="G24" s="10">
        <v>5.1724137931034482E-2</v>
      </c>
    </row>
    <row r="25" spans="1:7" x14ac:dyDescent="0.25">
      <c r="A25" s="6" t="s">
        <v>70</v>
      </c>
      <c r="B25" s="10">
        <v>1</v>
      </c>
      <c r="C25" s="10">
        <v>1</v>
      </c>
      <c r="D25" s="10">
        <v>1</v>
      </c>
      <c r="E25" s="10">
        <v>1</v>
      </c>
      <c r="F25" s="10">
        <v>1</v>
      </c>
      <c r="G25" s="10">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7EC14-F5A7-47C7-8106-9EF981C5F3BE}">
  <dimension ref="A1:E26"/>
  <sheetViews>
    <sheetView workbookViewId="0">
      <selection activeCell="D32" sqref="D32"/>
    </sheetView>
  </sheetViews>
  <sheetFormatPr defaultRowHeight="15" x14ac:dyDescent="0.25"/>
  <cols>
    <col min="1" max="1" width="9.28515625" bestFit="1" customWidth="1"/>
    <col min="2" max="2" width="16.28515625" customWidth="1"/>
    <col min="3" max="3" width="25.140625" customWidth="1"/>
    <col min="4" max="4" width="39.85546875" customWidth="1"/>
    <col min="5" max="5" width="40" customWidth="1"/>
  </cols>
  <sheetData>
    <row r="1" spans="1:5" x14ac:dyDescent="0.25">
      <c r="A1" t="s">
        <v>85</v>
      </c>
      <c r="B1" t="s">
        <v>86</v>
      </c>
      <c r="C1" t="s">
        <v>87</v>
      </c>
      <c r="D1" t="s">
        <v>88</v>
      </c>
      <c r="E1" t="s">
        <v>89</v>
      </c>
    </row>
    <row r="2" spans="1:5" x14ac:dyDescent="0.25">
      <c r="A2" s="12">
        <v>45658</v>
      </c>
      <c r="B2" s="13">
        <v>341610.01</v>
      </c>
    </row>
    <row r="3" spans="1:5" x14ac:dyDescent="0.25">
      <c r="A3" s="12">
        <v>45689</v>
      </c>
      <c r="B3" s="13">
        <v>299308.34000000003</v>
      </c>
    </row>
    <row r="4" spans="1:5" x14ac:dyDescent="0.25">
      <c r="A4" s="12">
        <v>45717</v>
      </c>
      <c r="B4" s="13">
        <v>317390.52</v>
      </c>
    </row>
    <row r="5" spans="1:5" x14ac:dyDescent="0.25">
      <c r="A5" s="12">
        <v>45748</v>
      </c>
      <c r="B5" s="13">
        <v>290772.03999999998</v>
      </c>
    </row>
    <row r="6" spans="1:5" x14ac:dyDescent="0.25">
      <c r="A6" s="12">
        <v>45778</v>
      </c>
      <c r="B6" s="13">
        <v>329448.48</v>
      </c>
    </row>
    <row r="7" spans="1:5" x14ac:dyDescent="0.25">
      <c r="A7" s="12">
        <v>45809</v>
      </c>
      <c r="B7" s="13">
        <v>324362.06</v>
      </c>
    </row>
    <row r="8" spans="1:5" x14ac:dyDescent="0.25">
      <c r="A8" s="12">
        <v>45839</v>
      </c>
      <c r="B8" s="13">
        <v>334918.36</v>
      </c>
    </row>
    <row r="9" spans="1:5" x14ac:dyDescent="0.25">
      <c r="A9" s="12">
        <v>45870</v>
      </c>
      <c r="B9" s="13">
        <v>356910.25</v>
      </c>
    </row>
    <row r="10" spans="1:5" x14ac:dyDescent="0.25">
      <c r="A10" s="12">
        <v>45901</v>
      </c>
      <c r="B10" s="13">
        <v>308856.32000000001</v>
      </c>
    </row>
    <row r="11" spans="1:5" x14ac:dyDescent="0.25">
      <c r="A11" s="12">
        <v>45931</v>
      </c>
      <c r="B11" s="13">
        <v>296054.49</v>
      </c>
    </row>
    <row r="12" spans="1:5" x14ac:dyDescent="0.25">
      <c r="A12" s="12">
        <v>45962</v>
      </c>
      <c r="B12" s="13">
        <v>296612.43</v>
      </c>
    </row>
    <row r="13" spans="1:5" x14ac:dyDescent="0.25">
      <c r="A13" s="12">
        <v>45992</v>
      </c>
      <c r="B13" s="13">
        <v>298382.06</v>
      </c>
      <c r="C13" s="13">
        <v>298382.06</v>
      </c>
      <c r="D13" s="13">
        <v>298382.06</v>
      </c>
      <c r="E13" s="13">
        <v>298382.06</v>
      </c>
    </row>
    <row r="14" spans="1:5" x14ac:dyDescent="0.25">
      <c r="A14" s="12">
        <v>46023</v>
      </c>
      <c r="C14" s="13">
        <f t="shared" ref="C14:C26" si="0">_xlfn.FORECAST.ETS(A14,$B$2:$B$13,$A$2:$A$13,1,1)</f>
        <v>309410.7392344781</v>
      </c>
      <c r="D14" s="13">
        <f t="shared" ref="D14:D26" si="1">C14-_xlfn.FORECAST.ETS.CONFINT(A14,$B$2:$B$13,$A$2:$A$13,0.95,1,1)</f>
        <v>264276.75824753614</v>
      </c>
      <c r="E14" s="13">
        <f t="shared" ref="E14:E26" si="2">C14+_xlfn.FORECAST.ETS.CONFINT(A14,$B$2:$B$13,$A$2:$A$13,0.95,1,1)</f>
        <v>354544.72022142005</v>
      </c>
    </row>
    <row r="15" spans="1:5" x14ac:dyDescent="0.25">
      <c r="A15" s="12">
        <v>46054</v>
      </c>
      <c r="C15" s="13">
        <f t="shared" si="0"/>
        <v>307664.35951359273</v>
      </c>
      <c r="D15" s="13">
        <f t="shared" si="1"/>
        <v>262300.75676368846</v>
      </c>
      <c r="E15" s="13">
        <f t="shared" si="2"/>
        <v>353027.962263497</v>
      </c>
    </row>
    <row r="16" spans="1:5" x14ac:dyDescent="0.25">
      <c r="A16" s="12">
        <v>46082</v>
      </c>
      <c r="C16" s="13">
        <f t="shared" si="0"/>
        <v>305917.97979270731</v>
      </c>
      <c r="D16" s="13">
        <f t="shared" si="1"/>
        <v>260321.37689677582</v>
      </c>
      <c r="E16" s="13">
        <f t="shared" si="2"/>
        <v>351514.58268863882</v>
      </c>
    </row>
    <row r="17" spans="1:5" x14ac:dyDescent="0.25">
      <c r="A17" s="12">
        <v>46113</v>
      </c>
      <c r="C17" s="13">
        <f t="shared" si="0"/>
        <v>304171.60007182194</v>
      </c>
      <c r="D17" s="13">
        <f t="shared" si="1"/>
        <v>258338.62572499868</v>
      </c>
      <c r="E17" s="13">
        <f t="shared" si="2"/>
        <v>350004.57441864524</v>
      </c>
    </row>
    <row r="18" spans="1:5" x14ac:dyDescent="0.25">
      <c r="A18" s="12">
        <v>46143</v>
      </c>
      <c r="C18" s="13">
        <f t="shared" si="0"/>
        <v>302425.22035093652</v>
      </c>
      <c r="D18" s="13">
        <f t="shared" si="1"/>
        <v>256352.51092240959</v>
      </c>
      <c r="E18" s="13">
        <f t="shared" si="2"/>
        <v>348497.92977946345</v>
      </c>
    </row>
    <row r="19" spans="1:5" x14ac:dyDescent="0.25">
      <c r="A19" s="12">
        <v>46174</v>
      </c>
      <c r="C19" s="13">
        <f t="shared" si="0"/>
        <v>300678.84063005116</v>
      </c>
      <c r="D19" s="13">
        <f t="shared" si="1"/>
        <v>254363.04073812987</v>
      </c>
      <c r="E19" s="13">
        <f t="shared" si="2"/>
        <v>346994.64052197244</v>
      </c>
    </row>
    <row r="20" spans="1:5" x14ac:dyDescent="0.25">
      <c r="A20" s="12">
        <v>46204</v>
      </c>
      <c r="C20" s="13">
        <f t="shared" si="0"/>
        <v>298932.46090916573</v>
      </c>
      <c r="D20" s="13">
        <f t="shared" si="1"/>
        <v>252370.22397559372</v>
      </c>
      <c r="E20" s="13">
        <f t="shared" si="2"/>
        <v>345494.69784273772</v>
      </c>
    </row>
    <row r="21" spans="1:5" x14ac:dyDescent="0.25">
      <c r="A21" s="12">
        <v>46235</v>
      </c>
      <c r="C21" s="13">
        <f t="shared" si="0"/>
        <v>297186.08118828037</v>
      </c>
      <c r="D21" s="13">
        <f t="shared" si="1"/>
        <v>250374.06997185471</v>
      </c>
      <c r="E21" s="13">
        <f t="shared" si="2"/>
        <v>343998.09240470605</v>
      </c>
    </row>
    <row r="22" spans="1:5" x14ac:dyDescent="0.25">
      <c r="A22" s="12">
        <v>46266</v>
      </c>
      <c r="C22" s="13">
        <f t="shared" si="0"/>
        <v>295439.70146739495</v>
      </c>
      <c r="D22" s="13">
        <f t="shared" si="1"/>
        <v>248374.5885769857</v>
      </c>
      <c r="E22" s="13">
        <f t="shared" si="2"/>
        <v>342504.81435780419</v>
      </c>
    </row>
    <row r="23" spans="1:5" x14ac:dyDescent="0.25">
      <c r="A23" s="12">
        <v>46296</v>
      </c>
      <c r="C23" s="13">
        <f t="shared" si="0"/>
        <v>293693.32174650952</v>
      </c>
      <c r="D23" s="13">
        <f t="shared" si="1"/>
        <v>246371.79013360423</v>
      </c>
      <c r="E23" s="13">
        <f t="shared" si="2"/>
        <v>341014.85335941485</v>
      </c>
    </row>
    <row r="24" spans="1:5" x14ac:dyDescent="0.25">
      <c r="A24" s="12">
        <v>46327</v>
      </c>
      <c r="C24" s="13">
        <f t="shared" si="0"/>
        <v>291946.94202562416</v>
      </c>
      <c r="D24" s="13">
        <f t="shared" si="1"/>
        <v>244365.68545655144</v>
      </c>
      <c r="E24" s="13">
        <f t="shared" si="2"/>
        <v>339528.19859469688</v>
      </c>
    </row>
    <row r="25" spans="1:5" x14ac:dyDescent="0.25">
      <c r="A25" s="12">
        <v>46357</v>
      </c>
      <c r="C25" s="13">
        <f t="shared" si="0"/>
        <v>290200.56230473873</v>
      </c>
      <c r="D25" s="13">
        <f t="shared" si="1"/>
        <v>242356.28581275244</v>
      </c>
      <c r="E25" s="13">
        <f t="shared" si="2"/>
        <v>338044.83879672503</v>
      </c>
    </row>
    <row r="26" spans="1:5" x14ac:dyDescent="0.25">
      <c r="A26" s="12">
        <v>46387</v>
      </c>
      <c r="C26" s="13">
        <f t="shared" si="0"/>
        <v>288510.51741355937</v>
      </c>
      <c r="D26" s="13">
        <f t="shared" si="1"/>
        <v>240408.50514432872</v>
      </c>
      <c r="E26" s="13">
        <f t="shared" si="2"/>
        <v>336612.52968279005</v>
      </c>
    </row>
  </sheetData>
  <pageMargins left="0.7" right="0.7" top="0.75" bottom="0.75" header="0.3" footer="0.3"/>
  <ignoredErrors>
    <ignoredError sqref="C13:E13" calculatedColumn="1"/>
  </ignoredErrors>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9B761-E711-4F95-BFC9-FF23E5AFD6A4}">
  <dimension ref="A1:K9"/>
  <sheetViews>
    <sheetView topLeftCell="C1" workbookViewId="0">
      <selection activeCell="D15" sqref="D15"/>
    </sheetView>
  </sheetViews>
  <sheetFormatPr defaultRowHeight="15" x14ac:dyDescent="0.25"/>
  <cols>
    <col min="1" max="1" width="19.140625" bestFit="1" customWidth="1"/>
    <col min="2" max="2" width="22.140625" bestFit="1" customWidth="1"/>
    <col min="3" max="3" width="26" bestFit="1" customWidth="1"/>
    <col min="4" max="4" width="16.28515625" bestFit="1" customWidth="1"/>
  </cols>
  <sheetData>
    <row r="1" spans="1:11" x14ac:dyDescent="0.25">
      <c r="C1" s="17" t="s">
        <v>92</v>
      </c>
      <c r="D1" s="17"/>
      <c r="E1" s="17"/>
      <c r="F1" s="17"/>
      <c r="G1" s="17"/>
      <c r="H1" s="17"/>
      <c r="I1" s="17"/>
      <c r="J1" s="17"/>
      <c r="K1" s="17"/>
    </row>
    <row r="3" spans="1:11" x14ac:dyDescent="0.25">
      <c r="A3" s="5" t="s">
        <v>1</v>
      </c>
      <c r="B3" t="s">
        <v>71</v>
      </c>
      <c r="C3" t="s">
        <v>90</v>
      </c>
      <c r="D3" t="s">
        <v>91</v>
      </c>
    </row>
    <row r="4" spans="1:11" x14ac:dyDescent="0.25">
      <c r="A4" s="6" t="s">
        <v>65</v>
      </c>
      <c r="B4" s="8">
        <v>162835078</v>
      </c>
      <c r="C4" s="8">
        <v>91767073</v>
      </c>
      <c r="D4" s="10">
        <v>0.56355838144407677</v>
      </c>
    </row>
    <row r="5" spans="1:11" x14ac:dyDescent="0.25">
      <c r="A5" s="6" t="s">
        <v>61</v>
      </c>
      <c r="B5" s="8">
        <v>167120750</v>
      </c>
      <c r="C5" s="8">
        <v>92696558</v>
      </c>
      <c r="D5" s="10">
        <v>0.55466815461275754</v>
      </c>
    </row>
    <row r="6" spans="1:11" x14ac:dyDescent="0.25">
      <c r="A6" s="6" t="s">
        <v>12</v>
      </c>
      <c r="B6" s="8">
        <v>161721072</v>
      </c>
      <c r="C6" s="8">
        <v>89549369</v>
      </c>
      <c r="D6" s="10">
        <v>0.55372727803832511</v>
      </c>
    </row>
    <row r="7" spans="1:11" x14ac:dyDescent="0.25">
      <c r="A7" s="6" t="s">
        <v>53</v>
      </c>
      <c r="B7" s="8">
        <v>179114592</v>
      </c>
      <c r="C7" s="8">
        <v>98850041</v>
      </c>
      <c r="D7" s="10">
        <v>0.55188156306103753</v>
      </c>
    </row>
    <row r="8" spans="1:11" x14ac:dyDescent="0.25">
      <c r="A8" s="6" t="s">
        <v>57</v>
      </c>
      <c r="B8" s="8">
        <v>179450120</v>
      </c>
      <c r="C8" s="8">
        <v>97916035</v>
      </c>
      <c r="D8" s="10">
        <v>0.54564485663202678</v>
      </c>
    </row>
    <row r="9" spans="1:11" x14ac:dyDescent="0.25">
      <c r="A9" s="6" t="s">
        <v>70</v>
      </c>
      <c r="B9" s="8">
        <v>850241612</v>
      </c>
      <c r="C9" s="8">
        <v>470779076</v>
      </c>
      <c r="D9" s="10">
        <v>0.55370034747252528</v>
      </c>
    </row>
  </sheetData>
  <mergeCells count="1">
    <mergeCell ref="C1:K1"/>
  </mergeCells>
  <pageMargins left="0.7" right="0.7" top="0.75" bottom="0.75" header="0.3" footer="0.3"/>
  <pageSetup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8C65C-22FC-48A5-91FE-C7CCA5E3DD89}">
  <dimension ref="A1:N24"/>
  <sheetViews>
    <sheetView workbookViewId="0">
      <selection activeCell="N11" sqref="N11"/>
    </sheetView>
  </sheetViews>
  <sheetFormatPr defaultRowHeight="15" x14ac:dyDescent="0.25"/>
  <cols>
    <col min="1" max="1" width="20.42578125" bestFit="1" customWidth="1"/>
    <col min="2" max="2" width="22.140625" bestFit="1" customWidth="1"/>
    <col min="3" max="3" width="17.42578125" bestFit="1" customWidth="1"/>
    <col min="4" max="4" width="16.28515625" bestFit="1" customWidth="1"/>
    <col min="8" max="8" width="13.42578125" bestFit="1" customWidth="1"/>
    <col min="12" max="12" width="20.42578125" bestFit="1" customWidth="1"/>
    <col min="13" max="13" width="14.42578125" bestFit="1" customWidth="1"/>
    <col min="14" max="14" width="17.28515625" customWidth="1"/>
  </cols>
  <sheetData>
    <row r="1" spans="1:14" x14ac:dyDescent="0.25">
      <c r="A1" s="18" t="s">
        <v>94</v>
      </c>
      <c r="B1" s="17"/>
      <c r="C1" s="17"/>
      <c r="D1" s="17"/>
      <c r="E1" s="17"/>
      <c r="F1" s="17"/>
      <c r="G1" s="17"/>
      <c r="H1" s="17"/>
    </row>
    <row r="3" spans="1:14" x14ac:dyDescent="0.25">
      <c r="A3" s="5" t="s">
        <v>93</v>
      </c>
      <c r="B3" t="s">
        <v>71</v>
      </c>
      <c r="C3" t="s">
        <v>83</v>
      </c>
      <c r="H3" t="s">
        <v>97</v>
      </c>
      <c r="L3" s="9" t="s">
        <v>93</v>
      </c>
      <c r="M3" s="9" t="s">
        <v>95</v>
      </c>
      <c r="N3" s="14" t="s">
        <v>96</v>
      </c>
    </row>
    <row r="4" spans="1:14" x14ac:dyDescent="0.25">
      <c r="A4" s="6" t="s">
        <v>34</v>
      </c>
      <c r="B4" s="8">
        <v>6857986</v>
      </c>
      <c r="C4" s="1">
        <v>530</v>
      </c>
      <c r="H4" s="8">
        <v>42512080.600000001</v>
      </c>
      <c r="L4" s="6" t="s">
        <v>34</v>
      </c>
      <c r="M4" s="8">
        <v>6857986</v>
      </c>
      <c r="N4" s="15" t="str">
        <f>IF(M4&lt;$H$4,"Needs Promotion","OK")</f>
        <v>Needs Promotion</v>
      </c>
    </row>
    <row r="5" spans="1:14" x14ac:dyDescent="0.25">
      <c r="A5" s="6" t="s">
        <v>35</v>
      </c>
      <c r="B5" s="8">
        <v>7475604</v>
      </c>
      <c r="C5" s="1">
        <v>596</v>
      </c>
      <c r="L5" s="6" t="s">
        <v>35</v>
      </c>
      <c r="M5" s="8">
        <v>7475604</v>
      </c>
      <c r="N5" s="15" t="str">
        <f t="shared" ref="N5:N23" si="0">IF(M5&lt;$H$4,"Needs Promotion","OK")</f>
        <v>Needs Promotion</v>
      </c>
    </row>
    <row r="6" spans="1:14" x14ac:dyDescent="0.25">
      <c r="A6" s="6" t="s">
        <v>33</v>
      </c>
      <c r="B6" s="8">
        <v>7910311</v>
      </c>
      <c r="C6" s="1">
        <v>630</v>
      </c>
      <c r="L6" s="6" t="s">
        <v>33</v>
      </c>
      <c r="M6" s="8">
        <v>7910311</v>
      </c>
      <c r="N6" s="15" t="str">
        <f t="shared" si="0"/>
        <v>Needs Promotion</v>
      </c>
    </row>
    <row r="7" spans="1:14" x14ac:dyDescent="0.25">
      <c r="A7" s="6" t="s">
        <v>36</v>
      </c>
      <c r="B7" s="8">
        <v>8489600</v>
      </c>
      <c r="C7" s="1">
        <v>695</v>
      </c>
      <c r="L7" s="6" t="s">
        <v>36</v>
      </c>
      <c r="M7" s="8">
        <v>8489600</v>
      </c>
      <c r="N7" s="15" t="str">
        <f t="shared" si="0"/>
        <v>Needs Promotion</v>
      </c>
    </row>
    <row r="8" spans="1:14" x14ac:dyDescent="0.25">
      <c r="A8" s="6" t="s">
        <v>23</v>
      </c>
      <c r="B8" s="8">
        <v>43806921</v>
      </c>
      <c r="C8" s="1">
        <v>594</v>
      </c>
      <c r="L8" s="6" t="s">
        <v>23</v>
      </c>
      <c r="M8" s="8">
        <v>43806921</v>
      </c>
      <c r="N8" s="15" t="str">
        <f t="shared" si="0"/>
        <v>OK</v>
      </c>
    </row>
    <row r="9" spans="1:14" x14ac:dyDescent="0.25">
      <c r="A9" s="6" t="s">
        <v>17</v>
      </c>
      <c r="B9" s="8">
        <v>44311913</v>
      </c>
      <c r="C9" s="1">
        <v>542</v>
      </c>
      <c r="L9" s="6" t="s">
        <v>17</v>
      </c>
      <c r="M9" s="8">
        <v>44311913</v>
      </c>
      <c r="N9" s="15" t="str">
        <f t="shared" si="0"/>
        <v>OK</v>
      </c>
    </row>
    <row r="10" spans="1:14" x14ac:dyDescent="0.25">
      <c r="A10" s="6" t="s">
        <v>40</v>
      </c>
      <c r="B10" s="8">
        <v>44702239</v>
      </c>
      <c r="C10" s="1">
        <v>633</v>
      </c>
      <c r="L10" s="6" t="s">
        <v>40</v>
      </c>
      <c r="M10" s="8">
        <v>44702239</v>
      </c>
      <c r="N10" s="15" t="str">
        <f t="shared" si="0"/>
        <v>OK</v>
      </c>
    </row>
    <row r="11" spans="1:14" x14ac:dyDescent="0.25">
      <c r="A11" s="6" t="s">
        <v>31</v>
      </c>
      <c r="B11" s="8">
        <v>47346422</v>
      </c>
      <c r="C11" s="1">
        <v>546</v>
      </c>
      <c r="L11" s="6" t="s">
        <v>31</v>
      </c>
      <c r="M11" s="8">
        <v>47346422</v>
      </c>
      <c r="N11" s="15" t="str">
        <f t="shared" si="0"/>
        <v>OK</v>
      </c>
    </row>
    <row r="12" spans="1:14" x14ac:dyDescent="0.25">
      <c r="A12" s="6" t="s">
        <v>30</v>
      </c>
      <c r="B12" s="8">
        <v>47674894</v>
      </c>
      <c r="C12" s="1">
        <v>559</v>
      </c>
      <c r="L12" s="6" t="s">
        <v>30</v>
      </c>
      <c r="M12" s="8">
        <v>47674894</v>
      </c>
      <c r="N12" s="15" t="str">
        <f t="shared" si="0"/>
        <v>OK</v>
      </c>
    </row>
    <row r="13" spans="1:14" x14ac:dyDescent="0.25">
      <c r="A13" s="6" t="s">
        <v>39</v>
      </c>
      <c r="B13" s="8">
        <v>48697842</v>
      </c>
      <c r="C13" s="1">
        <v>646</v>
      </c>
      <c r="L13" s="6" t="s">
        <v>39</v>
      </c>
      <c r="M13" s="8">
        <v>48697842</v>
      </c>
      <c r="N13" s="15" t="str">
        <f t="shared" si="0"/>
        <v>OK</v>
      </c>
    </row>
    <row r="14" spans="1:14" x14ac:dyDescent="0.25">
      <c r="A14" s="6" t="s">
        <v>25</v>
      </c>
      <c r="B14" s="8">
        <v>49159462</v>
      </c>
      <c r="C14" s="1">
        <v>618</v>
      </c>
      <c r="L14" s="6" t="s">
        <v>25</v>
      </c>
      <c r="M14" s="8">
        <v>49159462</v>
      </c>
      <c r="N14" s="15" t="str">
        <f t="shared" si="0"/>
        <v>OK</v>
      </c>
    </row>
    <row r="15" spans="1:14" x14ac:dyDescent="0.25">
      <c r="A15" s="6" t="s">
        <v>41</v>
      </c>
      <c r="B15" s="8">
        <v>50358261</v>
      </c>
      <c r="C15" s="1">
        <v>631</v>
      </c>
      <c r="L15" s="6" t="s">
        <v>41</v>
      </c>
      <c r="M15" s="8">
        <v>50358261</v>
      </c>
      <c r="N15" s="15" t="str">
        <f t="shared" si="0"/>
        <v>OK</v>
      </c>
    </row>
    <row r="16" spans="1:14" x14ac:dyDescent="0.25">
      <c r="A16" s="6" t="s">
        <v>24</v>
      </c>
      <c r="B16" s="8">
        <v>51561364</v>
      </c>
      <c r="C16" s="1">
        <v>625</v>
      </c>
      <c r="L16" s="6" t="s">
        <v>24</v>
      </c>
      <c r="M16" s="8">
        <v>51561364</v>
      </c>
      <c r="N16" s="15" t="str">
        <f t="shared" si="0"/>
        <v>OK</v>
      </c>
    </row>
    <row r="17" spans="1:14" x14ac:dyDescent="0.25">
      <c r="A17" s="6" t="s">
        <v>20</v>
      </c>
      <c r="B17" s="8">
        <v>52009492</v>
      </c>
      <c r="C17" s="1">
        <v>633</v>
      </c>
      <c r="L17" s="6" t="s">
        <v>20</v>
      </c>
      <c r="M17" s="8">
        <v>52009492</v>
      </c>
      <c r="N17" s="15" t="str">
        <f t="shared" si="0"/>
        <v>OK</v>
      </c>
    </row>
    <row r="18" spans="1:14" x14ac:dyDescent="0.25">
      <c r="A18" s="6" t="s">
        <v>28</v>
      </c>
      <c r="B18" s="8">
        <v>52410041</v>
      </c>
      <c r="C18" s="1">
        <v>598</v>
      </c>
      <c r="L18" s="6" t="s">
        <v>28</v>
      </c>
      <c r="M18" s="8">
        <v>52410041</v>
      </c>
      <c r="N18" s="15" t="str">
        <f t="shared" si="0"/>
        <v>OK</v>
      </c>
    </row>
    <row r="19" spans="1:14" x14ac:dyDescent="0.25">
      <c r="A19" s="6" t="s">
        <v>26</v>
      </c>
      <c r="B19" s="8">
        <v>53732428</v>
      </c>
      <c r="C19" s="1">
        <v>626</v>
      </c>
      <c r="L19" s="6" t="s">
        <v>26</v>
      </c>
      <c r="M19" s="8">
        <v>53732428</v>
      </c>
      <c r="N19" s="15" t="str">
        <f t="shared" si="0"/>
        <v>OK</v>
      </c>
    </row>
    <row r="20" spans="1:14" x14ac:dyDescent="0.25">
      <c r="A20" s="6" t="s">
        <v>21</v>
      </c>
      <c r="B20" s="8">
        <v>54170047</v>
      </c>
      <c r="C20" s="1">
        <v>631</v>
      </c>
      <c r="L20" s="6" t="s">
        <v>21</v>
      </c>
      <c r="M20" s="8">
        <v>54170047</v>
      </c>
      <c r="N20" s="15" t="str">
        <f t="shared" si="0"/>
        <v>OK</v>
      </c>
    </row>
    <row r="21" spans="1:14" x14ac:dyDescent="0.25">
      <c r="A21" s="6" t="s">
        <v>29</v>
      </c>
      <c r="B21" s="8">
        <v>56885379</v>
      </c>
      <c r="C21" s="1">
        <v>655</v>
      </c>
      <c r="L21" s="6" t="s">
        <v>29</v>
      </c>
      <c r="M21" s="8">
        <v>56885379</v>
      </c>
      <c r="N21" s="15" t="str">
        <f t="shared" si="0"/>
        <v>OK</v>
      </c>
    </row>
    <row r="22" spans="1:14" x14ac:dyDescent="0.25">
      <c r="A22" s="6" t="s">
        <v>19</v>
      </c>
      <c r="B22" s="8">
        <v>57794972</v>
      </c>
      <c r="C22" s="1">
        <v>622</v>
      </c>
      <c r="L22" s="6" t="s">
        <v>19</v>
      </c>
      <c r="M22" s="8">
        <v>57794972</v>
      </c>
      <c r="N22" s="15" t="str">
        <f t="shared" si="0"/>
        <v>OK</v>
      </c>
    </row>
    <row r="23" spans="1:14" x14ac:dyDescent="0.25">
      <c r="A23" s="6" t="s">
        <v>38</v>
      </c>
      <c r="B23" s="8">
        <v>64886434</v>
      </c>
      <c r="C23" s="1">
        <v>628</v>
      </c>
      <c r="L23" s="6" t="s">
        <v>38</v>
      </c>
      <c r="M23" s="8">
        <v>64886434</v>
      </c>
      <c r="N23" s="15" t="str">
        <f t="shared" si="0"/>
        <v>OK</v>
      </c>
    </row>
    <row r="24" spans="1:14" x14ac:dyDescent="0.25">
      <c r="A24" s="6" t="s">
        <v>70</v>
      </c>
      <c r="B24" s="8">
        <v>850241612</v>
      </c>
      <c r="C24" s="1">
        <v>12238</v>
      </c>
    </row>
  </sheetData>
  <mergeCells count="1">
    <mergeCell ref="A1:H1"/>
  </mergeCells>
  <conditionalFormatting sqref="N4:N23">
    <cfRule type="cellIs" dxfId="5" priority="1" operator="equal">
      <formula>"OK"</formula>
    </cfRule>
    <cfRule type="cellIs" dxfId="4" priority="2" operator="equal">
      <formula>"Needs Promotion"</formula>
    </cfRule>
  </conditionalFormatting>
  <pageMargins left="0.7" right="0.7" top="0.75" bottom="0.75" header="0.3" footer="0.3"/>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DBB69EC-D776-4A17-A0D3-DD9D581CBFD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Instructions on how to use</vt:lpstr>
      <vt:lpstr>Orginal_Sales_Data</vt:lpstr>
      <vt:lpstr>Sales_Data_table</vt:lpstr>
      <vt:lpstr>Q1.</vt:lpstr>
      <vt:lpstr>Q2.</vt:lpstr>
      <vt:lpstr>Q3.</vt:lpstr>
      <vt:lpstr>Q4.</vt:lpstr>
      <vt:lpstr>Q5.</vt:lpstr>
      <vt:lpstr>Q6.</vt:lpstr>
      <vt:lpstr>Q7</vt:lpstr>
      <vt:lpstr>Q8.</vt:lpstr>
      <vt:lpstr>Q9.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Billow</dc:creator>
  <cp:lastModifiedBy>Mohamed Billow</cp:lastModifiedBy>
  <dcterms:created xsi:type="dcterms:W3CDTF">2026-01-15T04:32:39Z</dcterms:created>
  <dcterms:modified xsi:type="dcterms:W3CDTF">2026-01-17T06:03:49Z</dcterms:modified>
</cp:coreProperties>
</file>